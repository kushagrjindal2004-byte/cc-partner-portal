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 Issuance Master" sheetId="1" state="visible" r:id="rId1"/>
    <sheet name="Working Capital &amp; Ban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7C2D12"/>
      <sz val="11"/>
    </font>
    <font>
      <name val="Calibri"/>
      <color rgb="001F2937"/>
      <sz val="10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ED7AA"/>
        <bgColor rgb="00FED7A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EA580C"/>
      </top>
      <bottom style="medium">
        <color rgb="00EA580C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6" fillId="6" borderId="3" applyAlignment="1" pivotButton="0" quotePrefix="0" xfId="0">
      <alignment horizontal="left" vertical="center"/>
    </xf>
    <xf numFmtId="3" fontId="6" fillId="6" borderId="3" applyAlignment="1" pivotButton="0" quotePrefix="0" xfId="0">
      <alignment horizontal="right" vertical="center"/>
    </xf>
    <xf numFmtId="0" fontId="1" fillId="0" borderId="0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8" customHeight="1">
      <c r="A1" s="1" t="inlineStr">
        <is>
          <t>Credit Card Issuance &amp; Partner Performance Portal - August 2026 vs September 2026</t>
        </is>
      </c>
    </row>
    <row r="2" ht="24" customHeight="1">
      <c r="A2" s="2" t="inlineStr">
        <is>
          <t>PARTNERS / MANAGERS</t>
        </is>
      </c>
      <c r="B2" s="2" t="inlineStr">
        <is>
          <t>TOTAL CARDS</t>
        </is>
      </c>
      <c r="C2" s="3" t="n"/>
      <c r="D2" s="2" t="inlineStr">
        <is>
          <t>AU (FINAL)</t>
        </is>
      </c>
      <c r="E2" s="3" t="n"/>
      <c r="F2" s="2" t="inlineStr">
        <is>
          <t>AXIS (FINAL)</t>
        </is>
      </c>
      <c r="G2" s="3" t="n"/>
      <c r="H2" s="2" t="inlineStr">
        <is>
          <t>AXIS LIC (21-SEP)</t>
        </is>
      </c>
      <c r="I2" s="3" t="n"/>
      <c r="J2" s="2" t="inlineStr">
        <is>
          <t>HDFC (FINAL)</t>
        </is>
      </c>
      <c r="K2" s="3" t="n"/>
      <c r="L2" s="2" t="inlineStr">
        <is>
          <t>INDUS (FINAL)</t>
        </is>
      </c>
      <c r="M2" s="3" t="n"/>
      <c r="N2" s="2" t="inlineStr">
        <is>
          <t>SBI (FINAL)</t>
        </is>
      </c>
      <c r="O2" s="3" t="n"/>
      <c r="P2" s="2" t="inlineStr">
        <is>
          <t>TATA NEU (FINAL)</t>
        </is>
      </c>
      <c r="Q2" s="3" t="n"/>
      <c r="R2" s="2" t="inlineStr">
        <is>
          <t>KIWI (FINAL)</t>
        </is>
      </c>
      <c r="S2" s="3" t="n"/>
      <c r="T2" s="2" t="inlineStr">
        <is>
          <t>BOB (FINAL)</t>
        </is>
      </c>
      <c r="U2" s="3" t="n"/>
      <c r="V2" s="2" t="inlineStr">
        <is>
          <t>YES ZAGGLE (FINAL)</t>
        </is>
      </c>
      <c r="W2" s="3" t="n"/>
      <c r="X2" s="2" t="inlineStr">
        <is>
          <t>RBL (FINAL)</t>
        </is>
      </c>
      <c r="Y2" s="3" t="n"/>
    </row>
    <row r="3" ht="20" customHeight="1">
      <c r="A3" s="3" t="n"/>
      <c r="B3" s="4" t="inlineStr">
        <is>
          <t>LMT</t>
        </is>
      </c>
      <c r="C3" s="4" t="inlineStr">
        <is>
          <t>CMT</t>
        </is>
      </c>
      <c r="D3" s="4" t="inlineStr">
        <is>
          <t>LM</t>
        </is>
      </c>
      <c r="E3" s="4" t="inlineStr">
        <is>
          <t>CM</t>
        </is>
      </c>
      <c r="F3" s="4" t="inlineStr">
        <is>
          <t>LM</t>
        </is>
      </c>
      <c r="G3" s="4" t="inlineStr">
        <is>
          <t>CM</t>
        </is>
      </c>
      <c r="H3" s="4" t="inlineStr">
        <is>
          <t>LM</t>
        </is>
      </c>
      <c r="I3" s="4" t="inlineStr">
        <is>
          <t>CM</t>
        </is>
      </c>
      <c r="J3" s="4" t="inlineStr">
        <is>
          <t>LM</t>
        </is>
      </c>
      <c r="K3" s="4" t="inlineStr">
        <is>
          <t>CM</t>
        </is>
      </c>
      <c r="L3" s="4" t="inlineStr">
        <is>
          <t>LM</t>
        </is>
      </c>
      <c r="M3" s="4" t="inlineStr">
        <is>
          <t>CM</t>
        </is>
      </c>
      <c r="N3" s="4" t="inlineStr">
        <is>
          <t>LM</t>
        </is>
      </c>
      <c r="O3" s="4" t="inlineStr">
        <is>
          <t>CM</t>
        </is>
      </c>
      <c r="P3" s="4" t="inlineStr">
        <is>
          <t>LM</t>
        </is>
      </c>
      <c r="Q3" s="4" t="inlineStr">
        <is>
          <t>CM</t>
        </is>
      </c>
      <c r="R3" s="4" t="inlineStr">
        <is>
          <t>LM</t>
        </is>
      </c>
      <c r="S3" s="4" t="inlineStr">
        <is>
          <t>CM</t>
        </is>
      </c>
      <c r="T3" s="4" t="inlineStr">
        <is>
          <t>LM</t>
        </is>
      </c>
      <c r="U3" s="4" t="inlineStr">
        <is>
          <t>CM</t>
        </is>
      </c>
      <c r="V3" s="4" t="inlineStr">
        <is>
          <t>LM</t>
        </is>
      </c>
      <c r="W3" s="4" t="inlineStr">
        <is>
          <t>CM</t>
        </is>
      </c>
      <c r="X3" s="4" t="inlineStr">
        <is>
          <t>LM</t>
        </is>
      </c>
      <c r="Y3" s="4" t="inlineStr">
        <is>
          <t>CM</t>
        </is>
      </c>
    </row>
    <row r="4" ht="22" customHeight="1">
      <c r="A4" s="5" t="inlineStr">
        <is>
          <t>★ MANAGER: INAYA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</row>
    <row r="5" ht="22" customHeight="1">
      <c r="A5" s="5" t="inlineStr">
        <is>
          <t>★ MANAGER: AZAM</t>
        </is>
      </c>
      <c r="B5" s="6">
        <f>SUM(B6:B10)</f>
        <v/>
      </c>
      <c r="C5" s="6">
        <f>SUM(C6:C10)</f>
        <v/>
      </c>
      <c r="D5" s="6">
        <f>SUM(D6:D10)</f>
        <v/>
      </c>
      <c r="E5" s="6">
        <f>SUM(E6:E10)</f>
        <v/>
      </c>
      <c r="F5" s="6">
        <f>SUM(F6:F10)</f>
        <v/>
      </c>
      <c r="G5" s="6">
        <f>SUM(G6:G10)</f>
        <v/>
      </c>
      <c r="H5" s="6">
        <f>SUM(H6:H10)</f>
        <v/>
      </c>
      <c r="I5" s="6">
        <f>SUM(I6:I10)</f>
        <v/>
      </c>
      <c r="J5" s="6">
        <f>SUM(J6:J10)</f>
        <v/>
      </c>
      <c r="K5" s="6">
        <f>SUM(K6:K10)</f>
        <v/>
      </c>
      <c r="L5" s="6">
        <f>SUM(L6:L10)</f>
        <v/>
      </c>
      <c r="M5" s="6">
        <f>SUM(M6:M10)</f>
        <v/>
      </c>
      <c r="N5" s="6">
        <f>SUM(N6:N10)</f>
        <v/>
      </c>
      <c r="O5" s="6">
        <f>SUM(O6:O10)</f>
        <v/>
      </c>
      <c r="P5" s="6">
        <f>SUM(P6:P10)</f>
        <v/>
      </c>
      <c r="Q5" s="6">
        <f>SUM(Q6:Q10)</f>
        <v/>
      </c>
      <c r="R5" s="6">
        <f>SUM(R6:R10)</f>
        <v/>
      </c>
      <c r="S5" s="6">
        <f>SUM(S6:S10)</f>
        <v/>
      </c>
      <c r="T5" s="6">
        <f>SUM(T6:T10)</f>
        <v/>
      </c>
      <c r="U5" s="6">
        <f>SUM(U6:U10)</f>
        <v/>
      </c>
      <c r="V5" s="6">
        <f>SUM(V6:V10)</f>
        <v/>
      </c>
      <c r="W5" s="6">
        <f>SUM(W6:W10)</f>
        <v/>
      </c>
      <c r="X5" s="6">
        <f>SUM(X6:X10)</f>
        <v/>
      </c>
      <c r="Y5" s="6">
        <f>SUM(Y6:Y10)</f>
        <v/>
      </c>
    </row>
    <row r="6" ht="19" customHeight="1">
      <c r="A6" s="7" t="inlineStr">
        <is>
          <t xml:space="preserve">    DALEE</t>
        </is>
      </c>
      <c r="B6" s="8">
        <f>D6+F6+H6+J6+L6+N6+P6+R6+T6+V6+X6</f>
        <v/>
      </c>
      <c r="C6" s="8">
        <f>E6+G6+I6+K6+M6+O6+Q6+S6+U6+W6+Y6</f>
        <v/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1</v>
      </c>
      <c r="K6" s="8" t="n">
        <v>1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</row>
    <row r="7" ht="19" customHeight="1">
      <c r="A7" s="9" t="inlineStr">
        <is>
          <t xml:space="preserve">    EASYCREDIT FINSERV</t>
        </is>
      </c>
      <c r="B7" s="10">
        <f>D7+F7+H7+J7+L7+N7+P7+R7+T7+V7+X7</f>
        <v/>
      </c>
      <c r="C7" s="10">
        <f>E7+G7+I7+K7+M7+O7+Q7+S7+U7+W7+Y7</f>
        <v/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136</v>
      </c>
      <c r="Q7" s="10" t="n">
        <v>324</v>
      </c>
      <c r="R7" s="10" t="n">
        <v>0</v>
      </c>
      <c r="S7" s="10" t="n">
        <v>0</v>
      </c>
      <c r="T7" s="10" t="n">
        <v>3</v>
      </c>
      <c r="U7" s="10" t="n">
        <v>8</v>
      </c>
      <c r="V7" s="10" t="n">
        <v>0</v>
      </c>
      <c r="W7" s="10" t="n">
        <v>0</v>
      </c>
      <c r="X7" s="10" t="n">
        <v>0</v>
      </c>
      <c r="Y7" s="10" t="n">
        <v>0</v>
      </c>
    </row>
    <row r="8" ht="19" customHeight="1">
      <c r="A8" s="7" t="inlineStr">
        <is>
          <t xml:space="preserve">    SHAHDAT ALI</t>
        </is>
      </c>
      <c r="B8" s="8">
        <f>D8+F8+H8+J8+L8+N8+P8+R8+T8+V8+X8</f>
        <v/>
      </c>
      <c r="C8" s="8">
        <f>E8+G8+I8+K8+M8+O8+Q8+S8+U8+W8+Y8</f>
        <v/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5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</row>
    <row r="9" ht="19" customHeight="1">
      <c r="A9" s="9" t="inlineStr">
        <is>
          <t xml:space="preserve">    SUNIL YADAV</t>
        </is>
      </c>
      <c r="B9" s="10">
        <f>D9+F9+H9+J9+L9+N9+P9+R9+T9+V9+X9</f>
        <v/>
      </c>
      <c r="C9" s="10">
        <f>E9+G9+I9+K9+M9+O9+Q9+S9+U9+W9+Y9</f>
        <v/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1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</row>
    <row r="10" ht="19" customHeight="1">
      <c r="A10" s="7" t="inlineStr">
        <is>
          <t xml:space="preserve">    SHUBHAM SHRIVASTAV</t>
        </is>
      </c>
      <c r="B10" s="8">
        <f>D10+F10+H10+J10+L10+N10+P10+R10+T10+V10+X10</f>
        <v/>
      </c>
      <c r="C10" s="8">
        <f>E10+G10+I10+K10+M10+O10+Q10+S10+U10+W10+Y10</f>
        <v/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1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</row>
    <row r="11" ht="22" customHeight="1">
      <c r="A11" s="5" t="inlineStr">
        <is>
          <t>★ MANAGER: INAYA</t>
        </is>
      </c>
      <c r="B11" s="6">
        <f>SUM(B12:B15)</f>
        <v/>
      </c>
      <c r="C11" s="6">
        <f>SUM(C12:C15)</f>
        <v/>
      </c>
      <c r="D11" s="6">
        <f>SUM(D12:D15)</f>
        <v/>
      </c>
      <c r="E11" s="6">
        <f>SUM(E12:E15)</f>
        <v/>
      </c>
      <c r="F11" s="6">
        <f>SUM(F12:F15)</f>
        <v/>
      </c>
      <c r="G11" s="6">
        <f>SUM(G12:G15)</f>
        <v/>
      </c>
      <c r="H11" s="6">
        <f>SUM(H12:H15)</f>
        <v/>
      </c>
      <c r="I11" s="6">
        <f>SUM(I12:I15)</f>
        <v/>
      </c>
      <c r="J11" s="6">
        <f>SUM(J12:J15)</f>
        <v/>
      </c>
      <c r="K11" s="6">
        <f>SUM(K12:K15)</f>
        <v/>
      </c>
      <c r="L11" s="6">
        <f>SUM(L12:L15)</f>
        <v/>
      </c>
      <c r="M11" s="6">
        <f>SUM(M12:M15)</f>
        <v/>
      </c>
      <c r="N11" s="6">
        <f>SUM(N12:N15)</f>
        <v/>
      </c>
      <c r="O11" s="6">
        <f>SUM(O12:O15)</f>
        <v/>
      </c>
      <c r="P11" s="6">
        <f>SUM(P12:P15)</f>
        <v/>
      </c>
      <c r="Q11" s="6">
        <f>SUM(Q12:Q15)</f>
        <v/>
      </c>
      <c r="R11" s="6">
        <f>SUM(R12:R15)</f>
        <v/>
      </c>
      <c r="S11" s="6">
        <f>SUM(S12:S15)</f>
        <v/>
      </c>
      <c r="T11" s="6">
        <f>SUM(T12:T15)</f>
        <v/>
      </c>
      <c r="U11" s="6">
        <f>SUM(U12:U15)</f>
        <v/>
      </c>
      <c r="V11" s="6">
        <f>SUM(V12:V15)</f>
        <v/>
      </c>
      <c r="W11" s="6">
        <f>SUM(W12:W15)</f>
        <v/>
      </c>
      <c r="X11" s="6">
        <f>SUM(X12:X15)</f>
        <v/>
      </c>
      <c r="Y11" s="6">
        <f>SUM(Y12:Y15)</f>
        <v/>
      </c>
    </row>
    <row r="12" ht="19" customHeight="1">
      <c r="A12" s="7" t="inlineStr">
        <is>
          <t xml:space="preserve">    POONAM KAMBLE</t>
        </is>
      </c>
      <c r="B12" s="8">
        <f>D12+F12+H12+J12+L12+N12+P12+R12+T12+V12+X12</f>
        <v/>
      </c>
      <c r="C12" s="8">
        <f>E12+G12+I12+K12+M12+O12+Q12+S12+U12+W12+Y12</f>
        <v/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259</v>
      </c>
      <c r="K12" s="8" t="n">
        <v>154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1097</v>
      </c>
      <c r="Q12" s="8" t="n">
        <v>831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</row>
    <row r="13" ht="19" customHeight="1">
      <c r="A13" s="9" t="inlineStr">
        <is>
          <t xml:space="preserve">    SANVIKA CREDIT ADVISORY</t>
        </is>
      </c>
      <c r="B13" s="10">
        <f>D13+F13+H13+J13+L13+N13+P13+R13+T13+V13+X13</f>
        <v/>
      </c>
      <c r="C13" s="10">
        <f>E13+G13+I13+K13+M13+O13+Q13+S13+U13+W13+Y13</f>
        <v/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1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</row>
    <row r="14" ht="19" customHeight="1">
      <c r="A14" s="7" t="inlineStr">
        <is>
          <t xml:space="preserve">    AIM ENTERPRISES</t>
        </is>
      </c>
      <c r="B14" s="8">
        <f>D14+F14+H14+J14+L14+N14+P14+R14+T14+V14+X14</f>
        <v/>
      </c>
      <c r="C14" s="8">
        <f>E14+G14+I14+K14+M14+O14+Q14+S14+U14+W14+Y14</f>
        <v/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</row>
    <row r="15" ht="19" customHeight="1">
      <c r="A15" s="9" t="inlineStr">
        <is>
          <t xml:space="preserve">    Q GET FINANCIAL TECHNOLOGIES INDIA PVT LTD</t>
        </is>
      </c>
      <c r="B15" s="10">
        <f>D15+F15+H15+J15+L15+N15+P15+R15+T15+V15+X15</f>
        <v/>
      </c>
      <c r="C15" s="10">
        <f>E15+G15+I15+K15+M15+O15+Q15+S15+U15+W15+Y15</f>
        <v/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2073</v>
      </c>
      <c r="Q15" s="10" t="n">
        <v>1926</v>
      </c>
      <c r="R15" s="10" t="n">
        <v>0</v>
      </c>
      <c r="S15" s="10" t="n">
        <v>0</v>
      </c>
      <c r="T15" s="10" t="n">
        <v>0</v>
      </c>
      <c r="U15" s="10" t="n">
        <v>21</v>
      </c>
      <c r="V15" s="10" t="n">
        <v>0</v>
      </c>
      <c r="W15" s="10" t="n">
        <v>0</v>
      </c>
      <c r="X15" s="10" t="n">
        <v>0</v>
      </c>
      <c r="Y15" s="10" t="n">
        <v>0</v>
      </c>
    </row>
    <row r="16" ht="22" customHeight="1">
      <c r="A16" s="5" t="inlineStr">
        <is>
          <t>★ MANAGER: BHAVANI</t>
        </is>
      </c>
      <c r="B16" s="6">
        <f>SUM(B17:B42)</f>
        <v/>
      </c>
      <c r="C16" s="6">
        <f>SUM(C17:C42)</f>
        <v/>
      </c>
      <c r="D16" s="6">
        <f>SUM(D17:D42)</f>
        <v/>
      </c>
      <c r="E16" s="6">
        <f>SUM(E17:E42)</f>
        <v/>
      </c>
      <c r="F16" s="6">
        <f>SUM(F17:F42)</f>
        <v/>
      </c>
      <c r="G16" s="6">
        <f>SUM(G17:G42)</f>
        <v/>
      </c>
      <c r="H16" s="6">
        <f>SUM(H17:H42)</f>
        <v/>
      </c>
      <c r="I16" s="6">
        <f>SUM(I17:I42)</f>
        <v/>
      </c>
      <c r="J16" s="6">
        <f>SUM(J17:J42)</f>
        <v/>
      </c>
      <c r="K16" s="6">
        <f>SUM(K17:K42)</f>
        <v/>
      </c>
      <c r="L16" s="6">
        <f>SUM(L17:L42)</f>
        <v/>
      </c>
      <c r="M16" s="6">
        <f>SUM(M17:M42)</f>
        <v/>
      </c>
      <c r="N16" s="6">
        <f>SUM(N17:N42)</f>
        <v/>
      </c>
      <c r="O16" s="6">
        <f>SUM(O17:O42)</f>
        <v/>
      </c>
      <c r="P16" s="6">
        <f>SUM(P17:P42)</f>
        <v/>
      </c>
      <c r="Q16" s="6">
        <f>SUM(Q17:Q42)</f>
        <v/>
      </c>
      <c r="R16" s="6">
        <f>SUM(R17:R42)</f>
        <v/>
      </c>
      <c r="S16" s="6">
        <f>SUM(S17:S42)</f>
        <v/>
      </c>
      <c r="T16" s="6">
        <f>SUM(T17:T42)</f>
        <v/>
      </c>
      <c r="U16" s="6">
        <f>SUM(U17:U42)</f>
        <v/>
      </c>
      <c r="V16" s="6">
        <f>SUM(V17:V42)</f>
        <v/>
      </c>
      <c r="W16" s="6">
        <f>SUM(W17:W42)</f>
        <v/>
      </c>
      <c r="X16" s="6">
        <f>SUM(X17:X42)</f>
        <v/>
      </c>
      <c r="Y16" s="6">
        <f>SUM(Y17:Y42)</f>
        <v/>
      </c>
    </row>
    <row r="17" ht="19" customHeight="1">
      <c r="A17" s="7" t="inlineStr">
        <is>
          <t xml:space="preserve">    RUDRA</t>
        </is>
      </c>
      <c r="B17" s="8">
        <f>D17+F17+H17+J17+L17+N17+P17+R17+T17+V17+X17</f>
        <v/>
      </c>
      <c r="C17" s="8">
        <f>E17+G17+I17+K17+M17+O17+Q17+S17+U17+W17+Y17</f>
        <v/>
      </c>
      <c r="D17" s="8" t="n">
        <v>0</v>
      </c>
      <c r="E17" s="8" t="n">
        <v>0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</row>
    <row r="18" ht="19" customHeight="1">
      <c r="A18" s="9" t="inlineStr">
        <is>
          <t xml:space="preserve">    ANIKET</t>
        </is>
      </c>
      <c r="B18" s="10">
        <f>D18+F18+H18+J18+L18+N18+P18+R18+T18+V18+X18</f>
        <v/>
      </c>
      <c r="C18" s="10">
        <f>E18+G18+I18+K18+M18+O18+Q18+S18+U18+W18+Y18</f>
        <v/>
      </c>
      <c r="D18" s="10" t="n">
        <v>0</v>
      </c>
      <c r="E18" s="10" t="n">
        <v>0</v>
      </c>
      <c r="F18" s="10" t="n">
        <v>0</v>
      </c>
      <c r="G18" s="10" t="n">
        <v>8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</row>
    <row r="19" ht="19" customHeight="1">
      <c r="A19" s="7" t="inlineStr">
        <is>
          <t xml:space="preserve">    ANJANI PANDEY</t>
        </is>
      </c>
      <c r="B19" s="8">
        <f>D19+F19+H19+J19+L19+N19+P19+R19+T19+V19+X19</f>
        <v/>
      </c>
      <c r="C19" s="8">
        <f>E19+G19+I19+K19+M19+O19+Q19+S19+U19+W19+Y19</f>
        <v/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2</v>
      </c>
      <c r="V19" s="8" t="n">
        <v>0</v>
      </c>
      <c r="W19" s="8" t="n">
        <v>0</v>
      </c>
      <c r="X19" s="8" t="n">
        <v>0</v>
      </c>
      <c r="Y19" s="8" t="n">
        <v>0</v>
      </c>
    </row>
    <row r="20" ht="19" customHeight="1">
      <c r="A20" s="9" t="inlineStr">
        <is>
          <t xml:space="preserve">    G K TRADERS</t>
        </is>
      </c>
      <c r="B20" s="10">
        <f>D20+F20+H20+J20+L20+N20+P20+R20+T20+V20+X20</f>
        <v/>
      </c>
      <c r="C20" s="10">
        <f>E20+G20+I20+K20+M20+O20+Q20+S20+U20+W20+Y20</f>
        <v/>
      </c>
      <c r="D20" s="10" t="n">
        <v>0</v>
      </c>
      <c r="E20" s="10" t="n">
        <v>0</v>
      </c>
      <c r="F20" s="10" t="n">
        <v>0</v>
      </c>
      <c r="G20" s="10" t="n">
        <v>4</v>
      </c>
      <c r="H20" s="10" t="n">
        <v>0</v>
      </c>
      <c r="I20" s="10" t="n">
        <v>0</v>
      </c>
      <c r="J20" s="10" t="n">
        <v>0</v>
      </c>
      <c r="K20" s="10" t="n">
        <v>1</v>
      </c>
      <c r="L20" s="10" t="n">
        <v>0</v>
      </c>
      <c r="M20" s="10" t="n">
        <v>0</v>
      </c>
      <c r="N20" s="10" t="n">
        <v>0</v>
      </c>
      <c r="O20" s="10" t="n">
        <v>7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2</v>
      </c>
      <c r="U20" s="10" t="n">
        <v>5</v>
      </c>
      <c r="V20" s="10" t="n">
        <v>0</v>
      </c>
      <c r="W20" s="10" t="n">
        <v>0</v>
      </c>
      <c r="X20" s="10" t="n">
        <v>0</v>
      </c>
      <c r="Y20" s="10" t="n">
        <v>0</v>
      </c>
    </row>
    <row r="21" ht="19" customHeight="1">
      <c r="A21" s="7" t="inlineStr">
        <is>
          <t xml:space="preserve">    BALAJI ENTERPRISES</t>
        </is>
      </c>
      <c r="B21" s="8">
        <f>D21+F21+H21+J21+L21+N21+P21+R21+T21+V21+X21</f>
        <v/>
      </c>
      <c r="C21" s="8">
        <f>E21+G21+I21+K21+M21+O21+Q21+S21+U21+W21+Y21</f>
        <v/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1</v>
      </c>
      <c r="V21" s="8" t="n">
        <v>1</v>
      </c>
      <c r="W21" s="8" t="n">
        <v>0</v>
      </c>
      <c r="X21" s="8" t="n">
        <v>0</v>
      </c>
      <c r="Y21" s="8" t="n">
        <v>0</v>
      </c>
    </row>
    <row r="22" ht="19" customHeight="1">
      <c r="A22" s="9" t="inlineStr">
        <is>
          <t xml:space="preserve">    BALAJI SOLUTIONS WORK</t>
        </is>
      </c>
      <c r="B22" s="10">
        <f>D22+F22+H22+J22+L22+N22+P22+R22+T22+V22+X22</f>
        <v/>
      </c>
      <c r="C22" s="10">
        <f>E22+G22+I22+K22+M22+O22+Q22+S22+U22+W22+Y22</f>
        <v/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3</v>
      </c>
      <c r="K22" s="10" t="n">
        <v>0</v>
      </c>
      <c r="L22" s="10" t="n">
        <v>1</v>
      </c>
      <c r="M22" s="10" t="n">
        <v>0</v>
      </c>
      <c r="N22" s="10" t="n">
        <v>0</v>
      </c>
      <c r="O22" s="10" t="n">
        <v>4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47</v>
      </c>
      <c r="U22" s="10" t="n">
        <v>98</v>
      </c>
      <c r="V22" s="10" t="n">
        <v>0</v>
      </c>
      <c r="W22" s="10" t="n">
        <v>0</v>
      </c>
      <c r="X22" s="10" t="n">
        <v>0</v>
      </c>
      <c r="Y22" s="10" t="n">
        <v>2</v>
      </c>
    </row>
    <row r="23" ht="19" customHeight="1">
      <c r="A23" s="7" t="inlineStr">
        <is>
          <t xml:space="preserve">    HIRDESH</t>
        </is>
      </c>
      <c r="B23" s="8">
        <f>D23+F23+H23+J23+L23+N23+P23+R23+T23+V23+X23</f>
        <v/>
      </c>
      <c r="C23" s="8">
        <f>E23+G23+I23+K23+M23+O23+Q23+S23+U23+W23+Y23</f>
        <v/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</row>
    <row r="24" ht="19" customHeight="1">
      <c r="A24" s="9" t="inlineStr">
        <is>
          <t xml:space="preserve">    HASMAT</t>
        </is>
      </c>
      <c r="B24" s="10">
        <f>D24+F24+H24+J24+L24+N24+P24+R24+T24+V24+X24</f>
        <v/>
      </c>
      <c r="C24" s="10">
        <f>E24+G24+I24+K24+M24+O24+Q24+S24+U24+W24+Y24</f>
        <v/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18</v>
      </c>
      <c r="U24" s="10" t="n">
        <v>11</v>
      </c>
      <c r="V24" s="10" t="n">
        <v>0</v>
      </c>
      <c r="W24" s="10" t="n">
        <v>0</v>
      </c>
      <c r="X24" s="10" t="n">
        <v>0</v>
      </c>
      <c r="Y24" s="10" t="n">
        <v>0</v>
      </c>
    </row>
    <row r="25" ht="19" customHeight="1">
      <c r="A25" s="7" t="inlineStr">
        <is>
          <t xml:space="preserve">    AED19 CARD SERVICES PVT LTD</t>
        </is>
      </c>
      <c r="B25" s="8">
        <f>D25+F25+H25+J25+L25+N25+P25+R25+T25+V25+X25</f>
        <v/>
      </c>
      <c r="C25" s="8">
        <f>E25+G25+I25+K25+M25+O25+Q25+S25+U25+W25+Y25</f>
        <v/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1</v>
      </c>
      <c r="V25" s="8" t="n">
        <v>0</v>
      </c>
      <c r="W25" s="8" t="n">
        <v>0</v>
      </c>
      <c r="X25" s="8" t="n">
        <v>0</v>
      </c>
      <c r="Y25" s="8" t="n">
        <v>0</v>
      </c>
    </row>
    <row r="26" ht="19" customHeight="1">
      <c r="A26" s="9" t="inlineStr">
        <is>
          <t xml:space="preserve">    PRUDENTS</t>
        </is>
      </c>
      <c r="B26" s="10">
        <f>D26+F26+H26+J26+L26+N26+P26+R26+T26+V26+X26</f>
        <v/>
      </c>
      <c r="C26" s="10">
        <f>E26+G26+I26+K26+M26+O26+Q26+S26+U26+W26+Y26</f>
        <v/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1</v>
      </c>
      <c r="V26" s="10" t="n">
        <v>0</v>
      </c>
      <c r="W26" s="10" t="n">
        <v>0</v>
      </c>
      <c r="X26" s="10" t="n">
        <v>0</v>
      </c>
      <c r="Y26" s="10" t="n">
        <v>0</v>
      </c>
    </row>
    <row r="27" ht="19" customHeight="1">
      <c r="A27" s="7" t="inlineStr">
        <is>
          <t xml:space="preserve">    SHIVAM</t>
        </is>
      </c>
      <c r="B27" s="8">
        <f>D27+F27+H27+J27+L27+N27+P27+R27+T27+V27+X27</f>
        <v/>
      </c>
      <c r="C27" s="8">
        <f>E27+G27+I27+K27+M27+O27+Q27+S27+U27+W27+Y27</f>
        <v/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1</v>
      </c>
      <c r="U27" s="8" t="n">
        <v>1</v>
      </c>
      <c r="V27" s="8" t="n">
        <v>0</v>
      </c>
      <c r="W27" s="8" t="n">
        <v>0</v>
      </c>
      <c r="X27" s="8" t="n">
        <v>0</v>
      </c>
      <c r="Y27" s="8" t="n">
        <v>0</v>
      </c>
    </row>
    <row r="28" ht="19" customHeight="1">
      <c r="A28" s="9" t="inlineStr">
        <is>
          <t xml:space="preserve">    INFINITY ENTERPRISES</t>
        </is>
      </c>
      <c r="B28" s="10">
        <f>D28+F28+H28+J28+L28+N28+P28+R28+T28+V28+X28</f>
        <v/>
      </c>
      <c r="C28" s="10">
        <f>E28+G28+I28+K28+M28+O28+Q28+S28+U28+W28+Y28</f>
        <v/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</row>
    <row r="29" ht="19" customHeight="1">
      <c r="A29" s="7" t="inlineStr">
        <is>
          <t xml:space="preserve">    QUANTUMX GLOBAL PRIVATE LIMITED</t>
        </is>
      </c>
      <c r="B29" s="8">
        <f>D29+F29+H29+J29+L29+N29+P29+R29+T29+V29+X29</f>
        <v/>
      </c>
      <c r="C29" s="8">
        <f>E29+G29+I29+K29+M29+O29+Q29+S29+U29+W29+Y29</f>
        <v/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</v>
      </c>
      <c r="M29" s="8" t="n">
        <v>1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168</v>
      </c>
      <c r="U29" s="8" t="n">
        <v>543</v>
      </c>
      <c r="V29" s="8" t="n">
        <v>0</v>
      </c>
      <c r="W29" s="8" t="n">
        <v>0</v>
      </c>
      <c r="X29" s="8" t="n">
        <v>0</v>
      </c>
      <c r="Y29" s="8" t="n">
        <v>0</v>
      </c>
    </row>
    <row r="30" ht="19" customHeight="1">
      <c r="A30" s="9" t="inlineStr">
        <is>
          <t xml:space="preserve">    RAHUL KUMAR MISHRA</t>
        </is>
      </c>
      <c r="B30" s="10">
        <f>D30+F30+H30+J30+L30+N30+P30+R30+T30+V30+X30</f>
        <v/>
      </c>
      <c r="C30" s="10">
        <f>E30+G30+I30+K30+M30+O30+Q30+S30+U30+W30+Y30</f>
        <v/>
      </c>
      <c r="D30" s="10" t="n">
        <v>1</v>
      </c>
      <c r="E30" s="10" t="n">
        <v>1</v>
      </c>
      <c r="F30" s="10" t="n">
        <v>36</v>
      </c>
      <c r="G30" s="10" t="n">
        <v>36</v>
      </c>
      <c r="H30" s="10" t="n">
        <v>0</v>
      </c>
      <c r="I30" s="10" t="n">
        <v>0</v>
      </c>
      <c r="J30" s="10" t="n">
        <v>7</v>
      </c>
      <c r="K30" s="10" t="n">
        <v>9</v>
      </c>
      <c r="L30" s="10" t="n">
        <v>0</v>
      </c>
      <c r="M30" s="10" t="n">
        <v>0</v>
      </c>
      <c r="N30" s="10" t="n">
        <v>19</v>
      </c>
      <c r="O30" s="10" t="n">
        <v>25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64</v>
      </c>
      <c r="U30" s="10" t="n">
        <v>206</v>
      </c>
      <c r="V30" s="10" t="n">
        <v>0</v>
      </c>
      <c r="W30" s="10" t="n">
        <v>0</v>
      </c>
      <c r="X30" s="10" t="n">
        <v>0</v>
      </c>
      <c r="Y30" s="10" t="n">
        <v>0</v>
      </c>
    </row>
    <row r="31" ht="19" customHeight="1">
      <c r="A31" s="7" t="inlineStr">
        <is>
          <t xml:space="preserve">    SHAKSHI</t>
        </is>
      </c>
      <c r="B31" s="8">
        <f>D31+F31+H31+J31+L31+N31+P31+R31+T31+V31+X31</f>
        <v/>
      </c>
      <c r="C31" s="8">
        <f>E31+G31+I31+K31+M31+O31+Q31+S31+U31+W31+Y31</f>
        <v/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1</v>
      </c>
      <c r="K31" s="8" t="n">
        <v>1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368</v>
      </c>
      <c r="U31" s="8" t="n">
        <v>259</v>
      </c>
      <c r="V31" s="8" t="n">
        <v>0</v>
      </c>
      <c r="W31" s="8" t="n">
        <v>0</v>
      </c>
      <c r="X31" s="8" t="n">
        <v>0</v>
      </c>
      <c r="Y31" s="8" t="n">
        <v>2</v>
      </c>
    </row>
    <row r="32" ht="19" customHeight="1">
      <c r="A32" s="9" t="inlineStr">
        <is>
          <t xml:space="preserve">    VISHAL SHARMA</t>
        </is>
      </c>
      <c r="B32" s="10">
        <f>D32+F32+H32+J32+L32+N32+P32+R32+T32+V32+X32</f>
        <v/>
      </c>
      <c r="C32" s="10">
        <f>E32+G32+I32+K32+M32+O32+Q32+S32+U32+W32+Y32</f>
        <v/>
      </c>
      <c r="D32" s="10" t="n">
        <v>0</v>
      </c>
      <c r="E32" s="10" t="n">
        <v>0</v>
      </c>
      <c r="F32" s="10" t="n">
        <v>7</v>
      </c>
      <c r="G32" s="10" t="n">
        <v>17</v>
      </c>
      <c r="H32" s="10" t="n">
        <v>0</v>
      </c>
      <c r="I32" s="10" t="n">
        <v>0</v>
      </c>
      <c r="J32" s="10" t="n">
        <v>46</v>
      </c>
      <c r="K32" s="10" t="n">
        <v>47</v>
      </c>
      <c r="L32" s="10" t="n">
        <v>0</v>
      </c>
      <c r="M32" s="10" t="n">
        <v>3</v>
      </c>
      <c r="N32" s="10" t="n">
        <v>1</v>
      </c>
      <c r="O32" s="10" t="n">
        <v>3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221</v>
      </c>
      <c r="U32" s="10" t="n">
        <v>347</v>
      </c>
      <c r="V32" s="10" t="n">
        <v>0</v>
      </c>
      <c r="W32" s="10" t="n">
        <v>0</v>
      </c>
      <c r="X32" s="10" t="n">
        <v>0</v>
      </c>
      <c r="Y32" s="10" t="n">
        <v>0</v>
      </c>
    </row>
    <row r="33" ht="19" customHeight="1">
      <c r="A33" s="7" t="inlineStr">
        <is>
          <t xml:space="preserve">    TYAGI INFOSIS</t>
        </is>
      </c>
      <c r="B33" s="8">
        <f>D33+F33+H33+J33+L33+N33+P33+R33+T33+V33+X33</f>
        <v/>
      </c>
      <c r="C33" s="8">
        <f>E33+G33+I33+K33+M33+O33+Q33+S33+U33+W33+Y33</f>
        <v/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11</v>
      </c>
      <c r="K33" s="8" t="n">
        <v>11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2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</row>
    <row r="34" ht="19" customHeight="1">
      <c r="A34" s="9" t="inlineStr">
        <is>
          <t xml:space="preserve">    SHIVANSHIENTERPRISES</t>
        </is>
      </c>
      <c r="B34" s="10">
        <f>D34+F34+H34+J34+L34+N34+P34+R34+T34+V34+X34</f>
        <v/>
      </c>
      <c r="C34" s="10">
        <f>E34+G34+I34+K34+M34+O34+Q34+S34+U34+W34+Y34</f>
        <v/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4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</row>
    <row r="35" ht="19" customHeight="1">
      <c r="A35" s="7" t="inlineStr">
        <is>
          <t xml:space="preserve">    EXTRA</t>
        </is>
      </c>
      <c r="B35" s="8">
        <f>D35+F35+H35+J35+L35+N35+P35+R35+T35+V35+X35</f>
        <v/>
      </c>
      <c r="C35" s="8">
        <f>E35+G35+I35+K35+M35+O35+Q35+S35+U35+W35+Y35</f>
        <v/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</row>
    <row r="36" ht="19" customHeight="1">
      <c r="A36" s="9" t="inlineStr">
        <is>
          <t xml:space="preserve">    NEERAJ KUMAR</t>
        </is>
      </c>
      <c r="B36" s="10">
        <f>D36+F36+H36+J36+L36+N36+P36+R36+T36+V36+X36</f>
        <v/>
      </c>
      <c r="C36" s="10">
        <f>E36+G36+I36+K36+M36+O36+Q36+S36+U36+W36+Y36</f>
        <v/>
      </c>
      <c r="D36" s="10" t="n">
        <v>3</v>
      </c>
      <c r="E36" s="10" t="n">
        <v>3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45</v>
      </c>
      <c r="U36" s="10" t="n">
        <v>89</v>
      </c>
      <c r="V36" s="10" t="n">
        <v>0</v>
      </c>
      <c r="W36" s="10" t="n">
        <v>0</v>
      </c>
      <c r="X36" s="10" t="n">
        <v>0</v>
      </c>
      <c r="Y36" s="10" t="n">
        <v>2</v>
      </c>
    </row>
    <row r="37" ht="19" customHeight="1">
      <c r="A37" s="7" t="inlineStr">
        <is>
          <t xml:space="preserve">    JAI JAGANNATH CARDS SERVICES PRIVATE LIMITED</t>
        </is>
      </c>
      <c r="B37" s="8">
        <f>D37+F37+H37+J37+L37+N37+P37+R37+T37+V37+X37</f>
        <v/>
      </c>
      <c r="C37" s="8">
        <f>E37+G37+I37+K37+M37+O37+Q37+S37+U37+W37+Y37</f>
        <v/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11</v>
      </c>
      <c r="Q37" s="8" t="n">
        <v>14</v>
      </c>
      <c r="R37" s="8" t="n">
        <v>0</v>
      </c>
      <c r="S37" s="8" t="n">
        <v>0</v>
      </c>
      <c r="T37" s="8" t="n">
        <v>158</v>
      </c>
      <c r="U37" s="8" t="n">
        <v>251</v>
      </c>
      <c r="V37" s="8" t="n">
        <v>0</v>
      </c>
      <c r="W37" s="8" t="n">
        <v>0</v>
      </c>
      <c r="X37" s="8" t="n">
        <v>0</v>
      </c>
      <c r="Y37" s="8" t="n">
        <v>0</v>
      </c>
    </row>
    <row r="38" ht="19" customHeight="1">
      <c r="A38" s="9" t="inlineStr">
        <is>
          <t xml:space="preserve">    RIYA</t>
        </is>
      </c>
      <c r="B38" s="10">
        <f>D38+F38+H38+J38+L38+N38+P38+R38+T38+V38+X38</f>
        <v/>
      </c>
      <c r="C38" s="10">
        <f>E38+G38+I38+K38+M38+O38+Q38+S38+U38+W38+Y38</f>
        <v/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13</v>
      </c>
      <c r="O38" s="10" t="n">
        <v>8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</row>
    <row r="39" ht="19" customHeight="1">
      <c r="A39" s="7" t="inlineStr">
        <is>
          <t xml:space="preserve">    SHILPA</t>
        </is>
      </c>
      <c r="B39" s="8">
        <f>D39+F39+H39+J39+L39+N39+P39+R39+T39+V39+X39</f>
        <v/>
      </c>
      <c r="C39" s="8">
        <f>E39+G39+I39+K39+M39+O39+Q39+S39+U39+W39+Y39</f>
        <v/>
      </c>
      <c r="D39" s="8" t="n">
        <v>1</v>
      </c>
      <c r="E39" s="8" t="n">
        <v>1</v>
      </c>
      <c r="F39" s="8" t="n">
        <v>2</v>
      </c>
      <c r="G39" s="8" t="n">
        <v>13</v>
      </c>
      <c r="H39" s="8" t="n">
        <v>0</v>
      </c>
      <c r="I39" s="8" t="n">
        <v>0</v>
      </c>
      <c r="J39" s="8" t="n">
        <v>3</v>
      </c>
      <c r="K39" s="8" t="n">
        <v>7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13</v>
      </c>
      <c r="U39" s="8" t="n">
        <v>25</v>
      </c>
      <c r="V39" s="8" t="n">
        <v>2</v>
      </c>
      <c r="W39" s="8" t="n">
        <v>5</v>
      </c>
      <c r="X39" s="8" t="n">
        <v>0</v>
      </c>
      <c r="Y39" s="8" t="n">
        <v>0</v>
      </c>
    </row>
    <row r="40" ht="19" customHeight="1">
      <c r="A40" s="9" t="inlineStr">
        <is>
          <t xml:space="preserve">    SUNIL</t>
        </is>
      </c>
      <c r="B40" s="10">
        <f>D40+F40+H40+J40+L40+N40+P40+R40+T40+V40+X40</f>
        <v/>
      </c>
      <c r="C40" s="10">
        <f>E40+G40+I40+K40+M40+O40+Q40+S40+U40+W40+Y40</f>
        <v/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14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2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</row>
    <row r="41" ht="19" customHeight="1">
      <c r="A41" s="7" t="inlineStr">
        <is>
          <t xml:space="preserve">    SANJAY PATEL</t>
        </is>
      </c>
      <c r="B41" s="8">
        <f>D41+F41+H41+J41+L41+N41+P41+R41+T41+V41+X41</f>
        <v/>
      </c>
      <c r="C41" s="8">
        <f>E41+G41+I41+K41+M41+O41+Q41+S41+U41+W41+Y41</f>
        <v/>
      </c>
      <c r="D41" s="8" t="n">
        <v>0</v>
      </c>
      <c r="E41" s="8" t="n">
        <v>0</v>
      </c>
      <c r="F41" s="8" t="n">
        <v>0</v>
      </c>
      <c r="G41" s="8" t="n">
        <v>3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64</v>
      </c>
      <c r="U41" s="8" t="n">
        <v>32</v>
      </c>
      <c r="V41" s="8" t="n">
        <v>0</v>
      </c>
      <c r="W41" s="8" t="n">
        <v>0</v>
      </c>
      <c r="X41" s="8" t="n">
        <v>0</v>
      </c>
      <c r="Y41" s="8" t="n">
        <v>0</v>
      </c>
    </row>
    <row r="42" ht="19" customHeight="1">
      <c r="A42" s="9" t="inlineStr">
        <is>
          <t xml:space="preserve">    SNEHA SHARMA</t>
        </is>
      </c>
      <c r="B42" s="10">
        <f>D42+F42+H42+J42+L42+N42+P42+R42+T42+V42+X42</f>
        <v/>
      </c>
      <c r="C42" s="10">
        <f>E42+G42+I42+K42+M42+O42+Q42+S42+U42+W42+Y42</f>
        <v/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1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1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139</v>
      </c>
      <c r="V42" s="10" t="n">
        <v>0</v>
      </c>
      <c r="W42" s="10" t="n">
        <v>0</v>
      </c>
      <c r="X42" s="10" t="n">
        <v>0</v>
      </c>
      <c r="Y42" s="10" t="n">
        <v>0</v>
      </c>
    </row>
    <row r="43" ht="22" customHeight="1">
      <c r="A43" s="5" t="inlineStr">
        <is>
          <t>★ MANAGER: BINOD MISHRA</t>
        </is>
      </c>
      <c r="B43" s="6">
        <f>SUM(B44:B56)</f>
        <v/>
      </c>
      <c r="C43" s="6">
        <f>SUM(C44:C56)</f>
        <v/>
      </c>
      <c r="D43" s="6">
        <f>SUM(D44:D56)</f>
        <v/>
      </c>
      <c r="E43" s="6">
        <f>SUM(E44:E56)</f>
        <v/>
      </c>
      <c r="F43" s="6">
        <f>SUM(F44:F56)</f>
        <v/>
      </c>
      <c r="G43" s="6">
        <f>SUM(G44:G56)</f>
        <v/>
      </c>
      <c r="H43" s="6">
        <f>SUM(H44:H56)</f>
        <v/>
      </c>
      <c r="I43" s="6">
        <f>SUM(I44:I56)</f>
        <v/>
      </c>
      <c r="J43" s="6">
        <f>SUM(J44:J56)</f>
        <v/>
      </c>
      <c r="K43" s="6">
        <f>SUM(K44:K56)</f>
        <v/>
      </c>
      <c r="L43" s="6">
        <f>SUM(L44:L56)</f>
        <v/>
      </c>
      <c r="M43" s="6">
        <f>SUM(M44:M56)</f>
        <v/>
      </c>
      <c r="N43" s="6">
        <f>SUM(N44:N56)</f>
        <v/>
      </c>
      <c r="O43" s="6">
        <f>SUM(O44:O56)</f>
        <v/>
      </c>
      <c r="P43" s="6">
        <f>SUM(P44:P56)</f>
        <v/>
      </c>
      <c r="Q43" s="6">
        <f>SUM(Q44:Q56)</f>
        <v/>
      </c>
      <c r="R43" s="6">
        <f>SUM(R44:R56)</f>
        <v/>
      </c>
      <c r="S43" s="6">
        <f>SUM(S44:S56)</f>
        <v/>
      </c>
      <c r="T43" s="6">
        <f>SUM(T44:T56)</f>
        <v/>
      </c>
      <c r="U43" s="6">
        <f>SUM(U44:U56)</f>
        <v/>
      </c>
      <c r="V43" s="6">
        <f>SUM(V44:V56)</f>
        <v/>
      </c>
      <c r="W43" s="6">
        <f>SUM(W44:W56)</f>
        <v/>
      </c>
      <c r="X43" s="6">
        <f>SUM(X44:X56)</f>
        <v/>
      </c>
      <c r="Y43" s="6">
        <f>SUM(Y44:Y56)</f>
        <v/>
      </c>
    </row>
    <row r="44" ht="19" customHeight="1">
      <c r="A44" s="7" t="inlineStr">
        <is>
          <t xml:space="preserve">    BISHAL PAUL</t>
        </is>
      </c>
      <c r="B44" s="8">
        <f>D44+F44+H44+J44+L44+N44+P44+R44+T44+V44+X44</f>
        <v/>
      </c>
      <c r="C44" s="8">
        <f>E44+G44+I44+K44+M44+O44+Q44+S44+U44+W44+Y44</f>
        <v/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10</v>
      </c>
      <c r="K44" s="8" t="n">
        <v>2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50</v>
      </c>
      <c r="U44" s="8" t="n">
        <v>1</v>
      </c>
      <c r="V44" s="8" t="n">
        <v>2</v>
      </c>
      <c r="W44" s="8" t="n">
        <v>0</v>
      </c>
      <c r="X44" s="8" t="n">
        <v>0</v>
      </c>
      <c r="Y44" s="8" t="n">
        <v>0</v>
      </c>
    </row>
    <row r="45" ht="19" customHeight="1">
      <c r="A45" s="9" t="inlineStr">
        <is>
          <t xml:space="preserve">    ABHIPAY</t>
        </is>
      </c>
      <c r="B45" s="10">
        <f>D45+F45+H45+J45+L45+N45+P45+R45+T45+V45+X45</f>
        <v/>
      </c>
      <c r="C45" s="10">
        <f>E45+G45+I45+K45+M45+O45+Q45+S45+U45+W45+Y45</f>
        <v/>
      </c>
      <c r="D45" s="10" t="n">
        <v>0</v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145</v>
      </c>
      <c r="Q45" s="10" t="n">
        <v>425</v>
      </c>
      <c r="R45" s="10" t="n">
        <v>0</v>
      </c>
      <c r="S45" s="10" t="n">
        <v>0</v>
      </c>
      <c r="T45" s="10" t="n">
        <v>0</v>
      </c>
      <c r="U45" s="10" t="n">
        <v>1</v>
      </c>
      <c r="V45" s="10" t="n">
        <v>0</v>
      </c>
      <c r="W45" s="10" t="n">
        <v>0</v>
      </c>
      <c r="X45" s="10" t="n">
        <v>0</v>
      </c>
      <c r="Y45" s="10" t="n">
        <v>0</v>
      </c>
    </row>
    <row r="46" ht="19" customHeight="1">
      <c r="A46" s="7" t="inlineStr">
        <is>
          <t xml:space="preserve">    PROSENJIT CHATERJEE</t>
        </is>
      </c>
      <c r="B46" s="8">
        <f>D46+F46+H46+J46+L46+N46+P46+R46+T46+V46+X46</f>
        <v/>
      </c>
      <c r="C46" s="8">
        <f>E46+G46+I46+K46+M46+O46+Q46+S46+U46+W46+Y46</f>
        <v/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3</v>
      </c>
      <c r="L46" s="8" t="n">
        <v>2</v>
      </c>
      <c r="M46" s="8" t="n">
        <v>1</v>
      </c>
      <c r="N46" s="8" t="n">
        <v>0</v>
      </c>
      <c r="O46" s="8" t="n">
        <v>0</v>
      </c>
      <c r="P46" s="8" t="n">
        <v>5</v>
      </c>
      <c r="Q46" s="8" t="n">
        <v>0</v>
      </c>
      <c r="R46" s="8" t="n">
        <v>0</v>
      </c>
      <c r="S46" s="8" t="n">
        <v>0</v>
      </c>
      <c r="T46" s="8" t="n">
        <v>91</v>
      </c>
      <c r="U46" s="8" t="n">
        <v>180</v>
      </c>
      <c r="V46" s="8" t="n">
        <v>2</v>
      </c>
      <c r="W46" s="8" t="n">
        <v>2</v>
      </c>
      <c r="X46" s="8" t="n">
        <v>0</v>
      </c>
      <c r="Y46" s="8" t="n">
        <v>14</v>
      </c>
    </row>
    <row r="47" ht="19" customHeight="1">
      <c r="A47" s="9" t="inlineStr">
        <is>
          <t xml:space="preserve">    FUNDCAP</t>
        </is>
      </c>
      <c r="B47" s="10">
        <f>D47+F47+H47+J47+L47+N47+P47+R47+T47+V47+X47</f>
        <v/>
      </c>
      <c r="C47" s="10">
        <f>E47+G47+I47+K47+M47+O47+Q47+S47+U47+W47+Y47</f>
        <v/>
      </c>
      <c r="D47" s="10" t="n">
        <v>0</v>
      </c>
      <c r="E47" s="10" t="n">
        <v>0</v>
      </c>
      <c r="F47" s="10" t="n">
        <v>0</v>
      </c>
      <c r="G47" s="10" t="n">
        <v>1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12</v>
      </c>
      <c r="V47" s="10" t="n">
        <v>0</v>
      </c>
      <c r="W47" s="10" t="n">
        <v>0</v>
      </c>
      <c r="X47" s="10" t="n">
        <v>0</v>
      </c>
      <c r="Y47" s="10" t="n">
        <v>0</v>
      </c>
    </row>
    <row r="48" ht="19" customHeight="1">
      <c r="A48" s="7" t="inlineStr">
        <is>
          <t xml:space="preserve">    EXTRA</t>
        </is>
      </c>
      <c r="B48" s="8">
        <f>D48+F48+H48+J48+L48+N48+P48+R48+T48+V48+X48</f>
        <v/>
      </c>
      <c r="C48" s="8">
        <f>E48+G48+I48+K48+M48+O48+Q48+S48+U48+W48+Y48</f>
        <v/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</row>
    <row r="49" ht="19" customHeight="1">
      <c r="A49" s="9" t="inlineStr">
        <is>
          <t xml:space="preserve">    PARTHA BHATTACHARJEE</t>
        </is>
      </c>
      <c r="B49" s="10">
        <f>D49+F49+H49+J49+L49+N49+P49+R49+T49+V49+X49</f>
        <v/>
      </c>
      <c r="C49" s="10">
        <f>E49+G49+I49+K49+M49+O49+Q49+S49+U49+W49+Y49</f>
        <v/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1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</row>
    <row r="50" ht="19" customHeight="1">
      <c r="A50" s="7" t="inlineStr">
        <is>
          <t xml:space="preserve">    GROWUP FINANCIAL</t>
        </is>
      </c>
      <c r="B50" s="8">
        <f>D50+F50+H50+J50+L50+N50+P50+R50+T50+V50+X50</f>
        <v/>
      </c>
      <c r="C50" s="8">
        <f>E50+G50+I50+K50+M50+O50+Q50+S50+U50+W50+Y50</f>
        <v/>
      </c>
      <c r="D50" s="8" t="n">
        <v>0</v>
      </c>
      <c r="E50" s="8" t="n">
        <v>0</v>
      </c>
      <c r="F50" s="8" t="n">
        <v>1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1</v>
      </c>
      <c r="Q50" s="8" t="n">
        <v>1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</row>
    <row r="51" ht="19" customHeight="1">
      <c r="A51" s="9" t="inlineStr">
        <is>
          <t xml:space="preserve">    AMIT KUMAR</t>
        </is>
      </c>
      <c r="B51" s="10">
        <f>D51+F51+H51+J51+L51+N51+P51+R51+T51+V51+X51</f>
        <v/>
      </c>
      <c r="C51" s="10">
        <f>E51+G51+I51+K51+M51+O51+Q51+S51+U51+W51+Y51</f>
        <v/>
      </c>
      <c r="D51" s="10" t="n">
        <v>0</v>
      </c>
      <c r="E51" s="10" t="n">
        <v>0</v>
      </c>
      <c r="F51" s="10" t="n">
        <v>7</v>
      </c>
      <c r="G51" s="10" t="n">
        <v>5</v>
      </c>
      <c r="H51" s="10" t="n">
        <v>0</v>
      </c>
      <c r="I51" s="10" t="n">
        <v>0</v>
      </c>
      <c r="J51" s="10" t="n">
        <v>0</v>
      </c>
      <c r="K51" s="10" t="n">
        <v>2</v>
      </c>
      <c r="L51" s="10" t="n">
        <v>0</v>
      </c>
      <c r="M51" s="10" t="n">
        <v>1</v>
      </c>
      <c r="N51" s="10" t="n">
        <v>0</v>
      </c>
      <c r="O51" s="10" t="n">
        <v>0</v>
      </c>
      <c r="P51" s="10" t="n">
        <v>2</v>
      </c>
      <c r="Q51" s="10" t="n">
        <v>3</v>
      </c>
      <c r="R51" s="10" t="n">
        <v>0</v>
      </c>
      <c r="S51" s="10" t="n">
        <v>0</v>
      </c>
      <c r="T51" s="10" t="n">
        <v>10</v>
      </c>
      <c r="U51" s="10" t="n">
        <v>11</v>
      </c>
      <c r="V51" s="10" t="n">
        <v>0</v>
      </c>
      <c r="W51" s="10" t="n">
        <v>0</v>
      </c>
      <c r="X51" s="10" t="n">
        <v>0</v>
      </c>
      <c r="Y51" s="10" t="n">
        <v>0</v>
      </c>
    </row>
    <row r="52" ht="19" customHeight="1">
      <c r="A52" s="7" t="inlineStr">
        <is>
          <t xml:space="preserve">    SUDIP POUL</t>
        </is>
      </c>
      <c r="B52" s="8">
        <f>D52+F52+H52+J52+L52+N52+P52+R52+T52+V52+X52</f>
        <v/>
      </c>
      <c r="C52" s="8">
        <f>E52+G52+I52+K52+M52+O52+Q52+S52+U52+W52+Y52</f>
        <v/>
      </c>
      <c r="D52" s="8" t="n">
        <v>0</v>
      </c>
      <c r="E52" s="8" t="n">
        <v>10</v>
      </c>
      <c r="F52" s="8" t="n">
        <v>17</v>
      </c>
      <c r="G52" s="8" t="n">
        <v>23</v>
      </c>
      <c r="H52" s="8" t="n">
        <v>0</v>
      </c>
      <c r="I52" s="8" t="n">
        <v>0</v>
      </c>
      <c r="J52" s="8" t="n">
        <v>1</v>
      </c>
      <c r="K52" s="8" t="n">
        <v>4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19</v>
      </c>
      <c r="U52" s="8" t="n">
        <v>48</v>
      </c>
      <c r="V52" s="8" t="n">
        <v>2</v>
      </c>
      <c r="W52" s="8" t="n">
        <v>3</v>
      </c>
      <c r="X52" s="8" t="n">
        <v>0</v>
      </c>
      <c r="Y52" s="8" t="n">
        <v>11</v>
      </c>
    </row>
    <row r="53" ht="19" customHeight="1">
      <c r="A53" s="9" t="inlineStr">
        <is>
          <t xml:space="preserve">    S K RABI</t>
        </is>
      </c>
      <c r="B53" s="10">
        <f>D53+F53+H53+J53+L53+N53+P53+R53+T53+V53+X53</f>
        <v/>
      </c>
      <c r="C53" s="10">
        <f>E53+G53+I53+K53+M53+O53+Q53+S53+U53+W53+Y53</f>
        <v/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16</v>
      </c>
      <c r="V53" s="10" t="n">
        <v>0</v>
      </c>
      <c r="W53" s="10" t="n">
        <v>0</v>
      </c>
      <c r="X53" s="10" t="n">
        <v>0</v>
      </c>
      <c r="Y53" s="10" t="n">
        <v>0</v>
      </c>
    </row>
    <row r="54" ht="19" customHeight="1">
      <c r="A54" s="7" t="inlineStr">
        <is>
          <t xml:space="preserve">    RR ASSOCIATES</t>
        </is>
      </c>
      <c r="B54" s="8">
        <f>D54+F54+H54+J54+L54+N54+P54+R54+T54+V54+X54</f>
        <v/>
      </c>
      <c r="C54" s="8">
        <f>E54+G54+I54+K54+M54+O54+Q54+S54+U54+W54+Y54</f>
        <v/>
      </c>
      <c r="D54" s="8" t="n">
        <v>35</v>
      </c>
      <c r="E54" s="8" t="n">
        <v>40</v>
      </c>
      <c r="F54" s="8" t="n">
        <v>13</v>
      </c>
      <c r="G54" s="8" t="n">
        <v>16</v>
      </c>
      <c r="H54" s="8" t="n">
        <v>0</v>
      </c>
      <c r="I54" s="8" t="n">
        <v>0</v>
      </c>
      <c r="J54" s="8" t="n">
        <v>13</v>
      </c>
      <c r="K54" s="8" t="n">
        <v>14</v>
      </c>
      <c r="L54" s="8" t="n">
        <v>6</v>
      </c>
      <c r="M54" s="8" t="n">
        <v>7</v>
      </c>
      <c r="N54" s="8" t="n">
        <v>1</v>
      </c>
      <c r="O54" s="8" t="n">
        <v>5</v>
      </c>
      <c r="P54" s="8" t="n">
        <v>83</v>
      </c>
      <c r="Q54" s="8" t="n">
        <v>19</v>
      </c>
      <c r="R54" s="8" t="n">
        <v>0</v>
      </c>
      <c r="S54" s="8" t="n">
        <v>0</v>
      </c>
      <c r="T54" s="8" t="n">
        <v>19</v>
      </c>
      <c r="U54" s="8" t="n">
        <v>53</v>
      </c>
      <c r="V54" s="8" t="n">
        <v>2</v>
      </c>
      <c r="W54" s="8" t="n">
        <v>3</v>
      </c>
      <c r="X54" s="8" t="n">
        <v>0</v>
      </c>
      <c r="Y54" s="8" t="n">
        <v>9</v>
      </c>
    </row>
    <row r="55" ht="19" customHeight="1">
      <c r="A55" s="9" t="inlineStr">
        <is>
          <t xml:space="preserve">    SRABANTI PAUL</t>
        </is>
      </c>
      <c r="B55" s="10">
        <f>D55+F55+H55+J55+L55+N55+P55+R55+T55+V55+X55</f>
        <v/>
      </c>
      <c r="C55" s="10">
        <f>E55+G55+I55+K55+M55+O55+Q55+S55+U55+W55+Y55</f>
        <v/>
      </c>
      <c r="D55" s="10" t="n">
        <v>0</v>
      </c>
      <c r="E55" s="10" t="n">
        <v>0</v>
      </c>
      <c r="F55" s="10" t="n">
        <v>9</v>
      </c>
      <c r="G55" s="10" t="n">
        <v>16</v>
      </c>
      <c r="H55" s="10" t="n">
        <v>0</v>
      </c>
      <c r="I55" s="10" t="n">
        <v>0</v>
      </c>
      <c r="J55" s="10" t="n">
        <v>2</v>
      </c>
      <c r="K55" s="10" t="n">
        <v>7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5</v>
      </c>
      <c r="Q55" s="10" t="n">
        <v>3</v>
      </c>
      <c r="R55" s="10" t="n">
        <v>0</v>
      </c>
      <c r="S55" s="10" t="n">
        <v>0</v>
      </c>
      <c r="T55" s="10" t="n">
        <v>45</v>
      </c>
      <c r="U55" s="10" t="n">
        <v>46</v>
      </c>
      <c r="V55" s="10" t="n">
        <v>1</v>
      </c>
      <c r="W55" s="10" t="n">
        <v>1</v>
      </c>
      <c r="X55" s="10" t="n">
        <v>0</v>
      </c>
      <c r="Y55" s="10" t="n">
        <v>0</v>
      </c>
    </row>
    <row r="56" ht="19" customHeight="1">
      <c r="A56" s="7" t="inlineStr">
        <is>
          <t xml:space="preserve">    SECUREPEAK SERVICE PVT LTD</t>
        </is>
      </c>
      <c r="B56" s="8">
        <f>D56+F56+H56+J56+L56+N56+P56+R56+T56+V56+X56</f>
        <v/>
      </c>
      <c r="C56" s="8">
        <f>E56+G56+I56+K56+M56+O56+Q56+S56+U56+W56+Y56</f>
        <v/>
      </c>
      <c r="D56" s="8" t="n">
        <v>1</v>
      </c>
      <c r="E56" s="8" t="n">
        <v>0</v>
      </c>
      <c r="F56" s="8" t="n">
        <v>0</v>
      </c>
      <c r="G56" s="8" t="n">
        <v>1</v>
      </c>
      <c r="H56" s="8" t="n">
        <v>0</v>
      </c>
      <c r="I56" s="8" t="n">
        <v>0</v>
      </c>
      <c r="J56" s="8" t="n">
        <v>6</v>
      </c>
      <c r="K56" s="8" t="n">
        <v>2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10</v>
      </c>
      <c r="Q56" s="8" t="n">
        <v>8</v>
      </c>
      <c r="R56" s="8" t="n">
        <v>0</v>
      </c>
      <c r="S56" s="8" t="n">
        <v>0</v>
      </c>
      <c r="T56" s="8" t="n">
        <v>11</v>
      </c>
      <c r="U56" s="8" t="n">
        <v>23</v>
      </c>
      <c r="V56" s="8" t="n">
        <v>11</v>
      </c>
      <c r="W56" s="8" t="n">
        <v>30</v>
      </c>
      <c r="X56" s="8" t="n">
        <v>0</v>
      </c>
      <c r="Y56" s="8" t="n">
        <v>24</v>
      </c>
    </row>
    <row r="57" ht="22" customHeight="1">
      <c r="A57" s="5" t="inlineStr">
        <is>
          <t>★ MANAGER: DIVYAM</t>
        </is>
      </c>
      <c r="B57" s="6">
        <f>SUM(B58:B72)</f>
        <v/>
      </c>
      <c r="C57" s="6">
        <f>SUM(C58:C72)</f>
        <v/>
      </c>
      <c r="D57" s="6">
        <f>SUM(D58:D72)</f>
        <v/>
      </c>
      <c r="E57" s="6">
        <f>SUM(E58:E72)</f>
        <v/>
      </c>
      <c r="F57" s="6">
        <f>SUM(F58:F72)</f>
        <v/>
      </c>
      <c r="G57" s="6">
        <f>SUM(G58:G72)</f>
        <v/>
      </c>
      <c r="H57" s="6">
        <f>SUM(H58:H72)</f>
        <v/>
      </c>
      <c r="I57" s="6">
        <f>SUM(I58:I72)</f>
        <v/>
      </c>
      <c r="J57" s="6">
        <f>SUM(J58:J72)</f>
        <v/>
      </c>
      <c r="K57" s="6">
        <f>SUM(K58:K72)</f>
        <v/>
      </c>
      <c r="L57" s="6">
        <f>SUM(L58:L72)</f>
        <v/>
      </c>
      <c r="M57" s="6">
        <f>SUM(M58:M72)</f>
        <v/>
      </c>
      <c r="N57" s="6">
        <f>SUM(N58:N72)</f>
        <v/>
      </c>
      <c r="O57" s="6">
        <f>SUM(O58:O72)</f>
        <v/>
      </c>
      <c r="P57" s="6">
        <f>SUM(P58:P72)</f>
        <v/>
      </c>
      <c r="Q57" s="6">
        <f>SUM(Q58:Q72)</f>
        <v/>
      </c>
      <c r="R57" s="6">
        <f>SUM(R58:R72)</f>
        <v/>
      </c>
      <c r="S57" s="6">
        <f>SUM(S58:S72)</f>
        <v/>
      </c>
      <c r="T57" s="6">
        <f>SUM(T58:T72)</f>
        <v/>
      </c>
      <c r="U57" s="6">
        <f>SUM(U58:U72)</f>
        <v/>
      </c>
      <c r="V57" s="6">
        <f>SUM(V58:V72)</f>
        <v/>
      </c>
      <c r="W57" s="6">
        <f>SUM(W58:W72)</f>
        <v/>
      </c>
      <c r="X57" s="6">
        <f>SUM(X58:X72)</f>
        <v/>
      </c>
      <c r="Y57" s="6">
        <f>SUM(Y58:Y72)</f>
        <v/>
      </c>
    </row>
    <row r="58" ht="19" customHeight="1">
      <c r="A58" s="7" t="inlineStr">
        <is>
          <t xml:space="preserve">    ATIK AHMED</t>
        </is>
      </c>
      <c r="B58" s="8">
        <f>D58+F58+H58+J58+L58+N58+P58+R58+T58+V58+X58</f>
        <v/>
      </c>
      <c r="C58" s="8">
        <f>E58+G58+I58+K58+M58+O58+Q58+S58+U58+W58+Y58</f>
        <v/>
      </c>
      <c r="D58" s="8" t="n">
        <v>2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8</v>
      </c>
      <c r="K58" s="8" t="n">
        <v>4</v>
      </c>
      <c r="L58" s="8" t="n">
        <v>2</v>
      </c>
      <c r="M58" s="8" t="n">
        <v>6</v>
      </c>
      <c r="N58" s="8" t="n">
        <v>0</v>
      </c>
      <c r="O58" s="8" t="n">
        <v>3</v>
      </c>
      <c r="P58" s="8" t="n">
        <v>0</v>
      </c>
      <c r="Q58" s="8" t="n">
        <v>0</v>
      </c>
      <c r="R58" s="8" t="n">
        <v>1</v>
      </c>
      <c r="S58" s="8" t="n">
        <v>0</v>
      </c>
      <c r="T58" s="8" t="n">
        <v>3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</row>
    <row r="59" ht="19" customHeight="1">
      <c r="A59" s="9" t="inlineStr">
        <is>
          <t xml:space="preserve">    OWLOTS NEXTGEN PRIVATE LIMITED</t>
        </is>
      </c>
      <c r="B59" s="10">
        <f>D59+F59+H59+J59+L59+N59+P59+R59+T59+V59+X59</f>
        <v/>
      </c>
      <c r="C59" s="10">
        <f>E59+G59+I59+K59+M59+O59+Q59+S59+U59+W59+Y59</f>
        <v/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12</v>
      </c>
      <c r="M59" s="10" t="n">
        <v>4</v>
      </c>
      <c r="N59" s="10" t="n">
        <v>3</v>
      </c>
      <c r="O59" s="10" t="n">
        <v>4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61</v>
      </c>
      <c r="U59" s="10" t="n">
        <v>140</v>
      </c>
      <c r="V59" s="10" t="n">
        <v>0</v>
      </c>
      <c r="W59" s="10" t="n">
        <v>0</v>
      </c>
      <c r="X59" s="10" t="n">
        <v>0</v>
      </c>
      <c r="Y59" s="10" t="n">
        <v>0</v>
      </c>
    </row>
    <row r="60" ht="19" customHeight="1">
      <c r="A60" s="7" t="inlineStr">
        <is>
          <t xml:space="preserve">    AMIT KUMAR</t>
        </is>
      </c>
      <c r="B60" s="8">
        <f>D60+F60+H60+J60+L60+N60+P60+R60+T60+V60+X60</f>
        <v/>
      </c>
      <c r="C60" s="8">
        <f>E60+G60+I60+K60+M60+O60+Q60+S60+U60+W60+Y60</f>
        <v/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</row>
    <row r="61" ht="19" customHeight="1">
      <c r="A61" s="9" t="inlineStr">
        <is>
          <t xml:space="preserve">    ABHISHEK</t>
        </is>
      </c>
      <c r="B61" s="10">
        <f>D61+F61+H61+J61+L61+N61+P61+R61+T61+V61+X61</f>
        <v/>
      </c>
      <c r="C61" s="10">
        <f>E61+G61+I61+K61+M61+O61+Q61+S61+U61+W61+Y61</f>
        <v/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3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</row>
    <row r="62" ht="19" customHeight="1">
      <c r="A62" s="7" t="inlineStr">
        <is>
          <t xml:space="preserve">    HETAL</t>
        </is>
      </c>
      <c r="B62" s="8">
        <f>D62+F62+H62+J62+L62+N62+P62+R62+T62+V62+X62</f>
        <v/>
      </c>
      <c r="C62" s="8">
        <f>E62+G62+I62+K62+M62+O62+Q62+S62+U62+W62+Y62</f>
        <v/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9</v>
      </c>
      <c r="O62" s="8" t="n">
        <v>11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</row>
    <row r="63" ht="19" customHeight="1">
      <c r="A63" s="9" t="inlineStr">
        <is>
          <t xml:space="preserve">    ASHISH JANI</t>
        </is>
      </c>
      <c r="B63" s="10">
        <f>D63+F63+H63+J63+L63+N63+P63+R63+T63+V63+X63</f>
        <v/>
      </c>
      <c r="C63" s="10">
        <f>E63+G63+I63+K63+M63+O63+Q63+S63+U63+W63+Y63</f>
        <v/>
      </c>
      <c r="D63" s="10" t="n">
        <v>0</v>
      </c>
      <c r="E63" s="10" t="n">
        <v>1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</row>
    <row r="64" ht="19" customHeight="1">
      <c r="A64" s="7" t="inlineStr">
        <is>
          <t xml:space="preserve">    GAJENDRA</t>
        </is>
      </c>
      <c r="B64" s="8">
        <f>D64+F64+H64+J64+L64+N64+P64+R64+T64+V64+X64</f>
        <v/>
      </c>
      <c r="C64" s="8">
        <f>E64+G64+I64+K64+M64+O64+Q64+S64+U64+W64+Y64</f>
        <v/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279</v>
      </c>
      <c r="Q64" s="8" t="n">
        <v>521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</row>
    <row r="65" ht="19" customHeight="1">
      <c r="A65" s="9" t="inlineStr">
        <is>
          <t xml:space="preserve">    FAIZAL</t>
        </is>
      </c>
      <c r="B65" s="10">
        <f>D65+F65+H65+J65+L65+N65+P65+R65+T65+V65+X65</f>
        <v/>
      </c>
      <c r="C65" s="10">
        <f>E65+G65+I65+K65+M65+O65+Q65+S65+U65+W65+Y65</f>
        <v/>
      </c>
      <c r="D65" s="10" t="n">
        <v>0</v>
      </c>
      <c r="E65" s="10" t="n">
        <v>0</v>
      </c>
      <c r="F65" s="10" t="n">
        <v>2</v>
      </c>
      <c r="G65" s="10" t="n">
        <v>7</v>
      </c>
      <c r="H65" s="10" t="n">
        <v>0</v>
      </c>
      <c r="I65" s="10" t="n">
        <v>0</v>
      </c>
      <c r="J65" s="10" t="n">
        <v>2</v>
      </c>
      <c r="K65" s="10" t="n">
        <v>0</v>
      </c>
      <c r="L65" s="10" t="n">
        <v>1</v>
      </c>
      <c r="M65" s="10" t="n">
        <v>0</v>
      </c>
      <c r="N65" s="10" t="n">
        <v>110</v>
      </c>
      <c r="O65" s="10" t="n">
        <v>121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</row>
    <row r="66" ht="19" customHeight="1">
      <c r="A66" s="7" t="inlineStr">
        <is>
          <t xml:space="preserve">    VIKRAM PUNE</t>
        </is>
      </c>
      <c r="B66" s="8">
        <f>D66+F66+H66+J66+L66+N66+P66+R66+T66+V66+X66</f>
        <v/>
      </c>
      <c r="C66" s="8">
        <f>E66+G66+I66+K66+M66+O66+Q66+S66+U66+W66+Y66</f>
        <v/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20</v>
      </c>
      <c r="Q66" s="8" t="n">
        <v>4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</row>
    <row r="67" ht="19" customHeight="1">
      <c r="A67" s="9" t="inlineStr">
        <is>
          <t xml:space="preserve">    INTROSPECT FINANCIAL SERVICE</t>
        </is>
      </c>
      <c r="B67" s="10">
        <f>D67+F67+H67+J67+L67+N67+P67+R67+T67+V67+X67</f>
        <v/>
      </c>
      <c r="C67" s="10">
        <f>E67+G67+I67+K67+M67+O67+Q67+S67+U67+W67+Y67</f>
        <v/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14</v>
      </c>
      <c r="K67" s="10" t="n">
        <v>32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</row>
    <row r="68" ht="19" customHeight="1">
      <c r="A68" s="7" t="inlineStr">
        <is>
          <t xml:space="preserve">    VIKAS D</t>
        </is>
      </c>
      <c r="B68" s="8">
        <f>D68+F68+H68+J68+L68+N68+P68+R68+T68+V68+X68</f>
        <v/>
      </c>
      <c r="C68" s="8">
        <f>E68+G68+I68+K68+M68+O68+Q68+S68+U68+W68+Y68</f>
        <v/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1</v>
      </c>
      <c r="V68" s="8" t="n">
        <v>1</v>
      </c>
      <c r="W68" s="8" t="n">
        <v>0</v>
      </c>
      <c r="X68" s="8" t="n">
        <v>0</v>
      </c>
      <c r="Y68" s="8" t="n">
        <v>0</v>
      </c>
    </row>
    <row r="69" ht="19" customHeight="1">
      <c r="A69" s="9" t="inlineStr">
        <is>
          <t xml:space="preserve">    EXTRA</t>
        </is>
      </c>
      <c r="B69" s="10">
        <f>D69+F69+H69+J69+L69+N69+P69+R69+T69+V69+X69</f>
        <v/>
      </c>
      <c r="C69" s="10">
        <f>E69+G69+I69+K69+M69+O69+Q69+S69+U69+W69+Y69</f>
        <v/>
      </c>
      <c r="D69" s="10" t="n">
        <v>0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3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</row>
    <row r="70" ht="19" customHeight="1">
      <c r="A70" s="7" t="inlineStr">
        <is>
          <t xml:space="preserve">    MESHIYA HETALBEN TARUNKUMAR</t>
        </is>
      </c>
      <c r="B70" s="8">
        <f>D70+F70+H70+J70+L70+N70+P70+R70+T70+V70+X70</f>
        <v/>
      </c>
      <c r="C70" s="8">
        <f>E70+G70+I70+K70+M70+O70+Q70+S70+U70+W70+Y70</f>
        <v/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11</v>
      </c>
      <c r="V70" s="8" t="n">
        <v>0</v>
      </c>
      <c r="W70" s="8" t="n">
        <v>0</v>
      </c>
      <c r="X70" s="8" t="n">
        <v>0</v>
      </c>
      <c r="Y70" s="8" t="n">
        <v>0</v>
      </c>
    </row>
    <row r="71" ht="19" customHeight="1">
      <c r="A71" s="9" t="inlineStr">
        <is>
          <t xml:space="preserve">    MILI PRADHAN</t>
        </is>
      </c>
      <c r="B71" s="10">
        <f>D71+F71+H71+J71+L71+N71+P71+R71+T71+V71+X71</f>
        <v/>
      </c>
      <c r="C71" s="10">
        <f>E71+G71+I71+K71+M71+O71+Q71+S71+U71+W71+Y71</f>
        <v/>
      </c>
      <c r="D71" s="10" t="n">
        <v>1</v>
      </c>
      <c r="E71" s="10" t="n">
        <v>0</v>
      </c>
      <c r="F71" s="10" t="n">
        <v>1</v>
      </c>
      <c r="G71" s="10" t="n">
        <v>0</v>
      </c>
      <c r="H71" s="10" t="n">
        <v>0</v>
      </c>
      <c r="I71" s="10" t="n">
        <v>0</v>
      </c>
      <c r="J71" s="10" t="n">
        <v>2</v>
      </c>
      <c r="K71" s="10" t="n">
        <v>0</v>
      </c>
      <c r="L71" s="10" t="n">
        <v>2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8</v>
      </c>
      <c r="U71" s="10" t="n">
        <v>1</v>
      </c>
      <c r="V71" s="10" t="n">
        <v>0</v>
      </c>
      <c r="W71" s="10" t="n">
        <v>0</v>
      </c>
      <c r="X71" s="10" t="n">
        <v>0</v>
      </c>
      <c r="Y71" s="10" t="n">
        <v>0</v>
      </c>
    </row>
    <row r="72" ht="19" customHeight="1">
      <c r="A72" s="7" t="inlineStr">
        <is>
          <t xml:space="preserve">    ANSH MANAGEMENT</t>
        </is>
      </c>
      <c r="B72" s="8">
        <f>D72+F72+H72+J72+L72+N72+P72+R72+T72+V72+X72</f>
        <v/>
      </c>
      <c r="C72" s="8">
        <f>E72+G72+I72+K72+M72+O72+Q72+S72+U72+W72+Y72</f>
        <v/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</row>
    <row r="73" ht="22" customHeight="1">
      <c r="A73" s="5" t="inlineStr">
        <is>
          <t>★ MANAGER: VINAY PANDEY</t>
        </is>
      </c>
      <c r="B73" s="6">
        <f>SUM(B74:B115)</f>
        <v/>
      </c>
      <c r="C73" s="6">
        <f>SUM(C74:C115)</f>
        <v/>
      </c>
      <c r="D73" s="6">
        <f>SUM(D74:D115)</f>
        <v/>
      </c>
      <c r="E73" s="6">
        <f>SUM(E74:E115)</f>
        <v/>
      </c>
      <c r="F73" s="6">
        <f>SUM(F74:F115)</f>
        <v/>
      </c>
      <c r="G73" s="6">
        <f>SUM(G74:G115)</f>
        <v/>
      </c>
      <c r="H73" s="6">
        <f>SUM(H74:H115)</f>
        <v/>
      </c>
      <c r="I73" s="6">
        <f>SUM(I74:I115)</f>
        <v/>
      </c>
      <c r="J73" s="6">
        <f>SUM(J74:J115)</f>
        <v/>
      </c>
      <c r="K73" s="6">
        <f>SUM(K74:K115)</f>
        <v/>
      </c>
      <c r="L73" s="6">
        <f>SUM(L74:L115)</f>
        <v/>
      </c>
      <c r="M73" s="6">
        <f>SUM(M74:M115)</f>
        <v/>
      </c>
      <c r="N73" s="6">
        <f>SUM(N74:N115)</f>
        <v/>
      </c>
      <c r="O73" s="6">
        <f>SUM(O74:O115)</f>
        <v/>
      </c>
      <c r="P73" s="6">
        <f>SUM(P74:P115)</f>
        <v/>
      </c>
      <c r="Q73" s="6">
        <f>SUM(Q74:Q115)</f>
        <v/>
      </c>
      <c r="R73" s="6">
        <f>SUM(R74:R115)</f>
        <v/>
      </c>
      <c r="S73" s="6">
        <f>SUM(S74:S115)</f>
        <v/>
      </c>
      <c r="T73" s="6">
        <f>SUM(T74:T115)</f>
        <v/>
      </c>
      <c r="U73" s="6">
        <f>SUM(U74:U115)</f>
        <v/>
      </c>
      <c r="V73" s="6">
        <f>SUM(V74:V115)</f>
        <v/>
      </c>
      <c r="W73" s="6">
        <f>SUM(W74:W115)</f>
        <v/>
      </c>
      <c r="X73" s="6">
        <f>SUM(X74:X115)</f>
        <v/>
      </c>
      <c r="Y73" s="6">
        <f>SUM(Y74:Y115)</f>
        <v/>
      </c>
    </row>
    <row r="74" ht="19" customHeight="1">
      <c r="A74" s="7" t="inlineStr">
        <is>
          <t xml:space="preserve">    VINEET SHARMA</t>
        </is>
      </c>
      <c r="B74" s="8">
        <f>D74+F74+H74+J74+L74+N74+P74+R74+T74+V74+X74</f>
        <v/>
      </c>
      <c r="C74" s="8">
        <f>E74+G74+I74+K74+M74+O74+Q74+S74+U74+W74+Y74</f>
        <v/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1</v>
      </c>
      <c r="K74" s="8" t="n">
        <v>3</v>
      </c>
      <c r="L74" s="8" t="n">
        <v>0</v>
      </c>
      <c r="M74" s="8" t="n">
        <v>0</v>
      </c>
      <c r="N74" s="8" t="n">
        <v>3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4</v>
      </c>
      <c r="V74" s="8" t="n">
        <v>0</v>
      </c>
      <c r="W74" s="8" t="n">
        <v>0</v>
      </c>
      <c r="X74" s="8" t="n">
        <v>0</v>
      </c>
      <c r="Y74" s="8" t="n">
        <v>0</v>
      </c>
    </row>
    <row r="75" ht="19" customHeight="1">
      <c r="A75" s="9" t="inlineStr">
        <is>
          <t xml:space="preserve">    RIDHVIK FINANCIAL SERVICES</t>
        </is>
      </c>
      <c r="B75" s="10">
        <f>D75+F75+H75+J75+L75+N75+P75+R75+T75+V75+X75</f>
        <v/>
      </c>
      <c r="C75" s="10">
        <f>E75+G75+I75+K75+M75+O75+Q75+S75+U75+W75+Y75</f>
        <v/>
      </c>
      <c r="D75" s="10" t="n">
        <v>0</v>
      </c>
      <c r="E75" s="10" t="n">
        <v>0</v>
      </c>
      <c r="F75" s="10" t="n">
        <v>0</v>
      </c>
      <c r="G75" s="10" t="n">
        <v>3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8</v>
      </c>
      <c r="M75" s="10" t="n">
        <v>0</v>
      </c>
      <c r="N75" s="10" t="n">
        <v>0</v>
      </c>
      <c r="O75" s="10" t="n">
        <v>0</v>
      </c>
      <c r="P75" s="10" t="n">
        <v>36</v>
      </c>
      <c r="Q75" s="10" t="n">
        <v>18</v>
      </c>
      <c r="R75" s="10" t="n">
        <v>0</v>
      </c>
      <c r="S75" s="10" t="n">
        <v>0</v>
      </c>
      <c r="T75" s="10" t="n">
        <v>69</v>
      </c>
      <c r="U75" s="10" t="n">
        <v>272</v>
      </c>
      <c r="V75" s="10" t="n">
        <v>0</v>
      </c>
      <c r="W75" s="10" t="n">
        <v>0</v>
      </c>
      <c r="X75" s="10" t="n">
        <v>0</v>
      </c>
      <c r="Y75" s="10" t="n">
        <v>0</v>
      </c>
    </row>
    <row r="76" ht="19" customHeight="1">
      <c r="A76" s="7" t="inlineStr">
        <is>
          <t xml:space="preserve">    AYUSH</t>
        </is>
      </c>
      <c r="B76" s="8">
        <f>D76+F76+H76+J76+L76+N76+P76+R76+T76+V76+X76</f>
        <v/>
      </c>
      <c r="C76" s="8">
        <f>E76+G76+I76+K76+M76+O76+Q76+S76+U76+W76+Y76</f>
        <v/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5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</row>
    <row r="77" ht="19" customHeight="1">
      <c r="A77" s="9" t="inlineStr">
        <is>
          <t xml:space="preserve">    EXTRA</t>
        </is>
      </c>
      <c r="B77" s="10">
        <f>D77+F77+H77+J77+L77+N77+P77+R77+T77+V77+X77</f>
        <v/>
      </c>
      <c r="C77" s="10">
        <f>E77+G77+I77+K77+M77+O77+Q77+S77+U77+W77+Y77</f>
        <v/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</row>
    <row r="78" ht="19" customHeight="1">
      <c r="A78" s="7" t="inlineStr">
        <is>
          <t xml:space="preserve">    PRIYA CHAND</t>
        </is>
      </c>
      <c r="B78" s="8">
        <f>D78+F78+H78+J78+L78+N78+P78+R78+T78+V78+X78</f>
        <v/>
      </c>
      <c r="C78" s="8">
        <f>E78+G78+I78+K78+M78+O78+Q78+S78+U78+W78+Y78</f>
        <v/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2</v>
      </c>
      <c r="M78" s="8" t="n">
        <v>1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</row>
    <row r="79" ht="19" customHeight="1">
      <c r="A79" s="9" t="inlineStr">
        <is>
          <t xml:space="preserve">    AKSH CHOUHAN</t>
        </is>
      </c>
      <c r="B79" s="10">
        <f>D79+F79+H79+J79+L79+N79+P79+R79+T79+V79+X79</f>
        <v/>
      </c>
      <c r="C79" s="10">
        <f>E79+G79+I79+K79+M79+O79+Q79+S79+U79+W79+Y79</f>
        <v/>
      </c>
      <c r="D79" s="10" t="n">
        <v>0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73</v>
      </c>
      <c r="O79" s="10" t="n">
        <v>48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</row>
    <row r="80" ht="19" customHeight="1">
      <c r="A80" s="7" t="inlineStr">
        <is>
          <t xml:space="preserve">    KRISHNA</t>
        </is>
      </c>
      <c r="B80" s="8">
        <f>D80+F80+H80+J80+L80+N80+P80+R80+T80+V80+X80</f>
        <v/>
      </c>
      <c r="C80" s="8">
        <f>E80+G80+I80+K80+M80+O80+Q80+S80+U80+W80+Y80</f>
        <v/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9</v>
      </c>
      <c r="U80" s="8" t="n">
        <v>5</v>
      </c>
      <c r="V80" s="8" t="n">
        <v>0</v>
      </c>
      <c r="W80" s="8" t="n">
        <v>0</v>
      </c>
      <c r="X80" s="8" t="n">
        <v>0</v>
      </c>
      <c r="Y80" s="8" t="n">
        <v>0</v>
      </c>
    </row>
    <row r="81" ht="19" customHeight="1">
      <c r="A81" s="9" t="inlineStr">
        <is>
          <t xml:space="preserve">    UNIQE MONEY</t>
        </is>
      </c>
      <c r="B81" s="10">
        <f>D81+F81+H81+J81+L81+N81+P81+R81+T81+V81+X81</f>
        <v/>
      </c>
      <c r="C81" s="10">
        <f>E81+G81+I81+K81+M81+O81+Q81+S81+U81+W81+Y81</f>
        <v/>
      </c>
      <c r="D81" s="10" t="n">
        <v>0</v>
      </c>
      <c r="E81" s="10" t="n">
        <v>0</v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49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</row>
    <row r="82" ht="19" customHeight="1">
      <c r="A82" s="7" t="inlineStr">
        <is>
          <t xml:space="preserve">    ABHISHEK DUTTA</t>
        </is>
      </c>
      <c r="B82" s="8">
        <f>D82+F82+H82+J82+L82+N82+P82+R82+T82+V82+X82</f>
        <v/>
      </c>
      <c r="C82" s="8">
        <f>E82+G82+I82+K82+M82+O82+Q82+S82+U82+W82+Y82</f>
        <v/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2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</row>
    <row r="83" ht="19" customHeight="1">
      <c r="A83" s="9" t="inlineStr">
        <is>
          <t xml:space="preserve">    FARMAN</t>
        </is>
      </c>
      <c r="B83" s="10">
        <f>D83+F83+H83+J83+L83+N83+P83+R83+T83+V83+X83</f>
        <v/>
      </c>
      <c r="C83" s="10">
        <f>E83+G83+I83+K83+M83+O83+Q83+S83+U83+W83+Y83</f>
        <v/>
      </c>
      <c r="D83" s="10" t="n">
        <v>0</v>
      </c>
      <c r="E83" s="10" t="n">
        <v>0</v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7</v>
      </c>
      <c r="K83" s="10" t="n">
        <v>12</v>
      </c>
      <c r="L83" s="10" t="n">
        <v>0</v>
      </c>
      <c r="M83" s="10" t="n">
        <v>0</v>
      </c>
      <c r="N83" s="10" t="n">
        <v>12</v>
      </c>
      <c r="O83" s="10" t="n">
        <v>0</v>
      </c>
      <c r="P83" s="10" t="n">
        <v>0</v>
      </c>
      <c r="Q83" s="10" t="n">
        <v>2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</row>
    <row r="84" ht="19" customHeight="1">
      <c r="A84" s="7" t="inlineStr">
        <is>
          <t xml:space="preserve">    SWATI</t>
        </is>
      </c>
      <c r="B84" s="8">
        <f>D84+F84+H84+J84+L84+N84+P84+R84+T84+V84+X84</f>
        <v/>
      </c>
      <c r="C84" s="8">
        <f>E84+G84+I84+K84+M84+O84+Q84+S84+U84+W84+Y84</f>
        <v/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1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</row>
    <row r="85" ht="19" customHeight="1">
      <c r="A85" s="9" t="inlineStr">
        <is>
          <t xml:space="preserve">    IMRAN</t>
        </is>
      </c>
      <c r="B85" s="10">
        <f>D85+F85+H85+J85+L85+N85+P85+R85+T85+V85+X85</f>
        <v/>
      </c>
      <c r="C85" s="10">
        <f>E85+G85+I85+K85+M85+O85+Q85+S85+U85+W85+Y85</f>
        <v/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9</v>
      </c>
      <c r="M85" s="10" t="n">
        <v>4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</row>
    <row r="86" ht="19" customHeight="1">
      <c r="A86" s="7" t="inlineStr">
        <is>
          <t xml:space="preserve">    SUNITA (BOOSTER SCORE SOLUTIONS PVT LTD)</t>
        </is>
      </c>
      <c r="B86" s="8">
        <f>D86+F86+H86+J86+L86+N86+P86+R86+T86+V86+X86</f>
        <v/>
      </c>
      <c r="C86" s="8">
        <f>E86+G86+I86+K86+M86+O86+Q86+S86+U86+W86+Y86</f>
        <v/>
      </c>
      <c r="D86" s="8" t="n">
        <v>0</v>
      </c>
      <c r="E86" s="8" t="n">
        <v>0</v>
      </c>
      <c r="F86" s="8" t="n">
        <v>11</v>
      </c>
      <c r="G86" s="8" t="n">
        <v>10</v>
      </c>
      <c r="H86" s="8" t="n">
        <v>0</v>
      </c>
      <c r="I86" s="8" t="n">
        <v>0</v>
      </c>
      <c r="J86" s="8" t="n">
        <v>33</v>
      </c>
      <c r="K86" s="8" t="n">
        <v>55</v>
      </c>
      <c r="L86" s="8" t="n">
        <v>1</v>
      </c>
      <c r="M86" s="8" t="n">
        <v>1</v>
      </c>
      <c r="N86" s="8" t="n">
        <v>0</v>
      </c>
      <c r="O86" s="8" t="n">
        <v>0</v>
      </c>
      <c r="P86" s="8" t="n">
        <v>198</v>
      </c>
      <c r="Q86" s="8" t="n">
        <v>119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2</v>
      </c>
    </row>
    <row r="87" ht="19" customHeight="1">
      <c r="A87" s="9" t="inlineStr">
        <is>
          <t xml:space="preserve">    ANUBHAV GUPTA</t>
        </is>
      </c>
      <c r="B87" s="10">
        <f>D87+F87+H87+J87+L87+N87+P87+R87+T87+V87+X87</f>
        <v/>
      </c>
      <c r="C87" s="10">
        <f>E87+G87+I87+K87+M87+O87+Q87+S87+U87+W87+Y87</f>
        <v/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17</v>
      </c>
      <c r="L87" s="10" t="n">
        <v>0</v>
      </c>
      <c r="M87" s="10" t="n">
        <v>0</v>
      </c>
      <c r="N87" s="10" t="n">
        <v>98</v>
      </c>
      <c r="O87" s="10" t="n">
        <v>61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0</v>
      </c>
      <c r="X87" s="10" t="n">
        <v>0</v>
      </c>
      <c r="Y87" s="10" t="n">
        <v>0</v>
      </c>
    </row>
    <row r="88" ht="19" customHeight="1">
      <c r="A88" s="7" t="inlineStr">
        <is>
          <t xml:space="preserve">    SNEHLATA</t>
        </is>
      </c>
      <c r="B88" s="8">
        <f>D88+F88+H88+J88+L88+N88+P88+R88+T88+V88+X88</f>
        <v/>
      </c>
      <c r="C88" s="8">
        <f>E88+G88+I88+K88+M88+O88+Q88+S88+U88+W88+Y88</f>
        <v/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41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</row>
    <row r="89" ht="19" customHeight="1">
      <c r="A89" s="9" t="inlineStr">
        <is>
          <t xml:space="preserve">    FINSPARK</t>
        </is>
      </c>
      <c r="B89" s="10">
        <f>D89+F89+H89+J89+L89+N89+P89+R89+T89+V89+X89</f>
        <v/>
      </c>
      <c r="C89" s="10">
        <f>E89+G89+I89+K89+M89+O89+Q89+S89+U89+W89+Y89</f>
        <v/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</row>
    <row r="90" ht="19" customHeight="1">
      <c r="A90" s="7" t="inlineStr">
        <is>
          <t xml:space="preserve">    ARUN KUMAR</t>
        </is>
      </c>
      <c r="B90" s="8">
        <f>D90+F90+H90+J90+L90+N90+P90+R90+T90+V90+X90</f>
        <v/>
      </c>
      <c r="C90" s="8">
        <f>E90+G90+I90+K90+M90+O90+Q90+S90+U90+W90+Y90</f>
        <v/>
      </c>
      <c r="D90" s="8" t="n">
        <v>0</v>
      </c>
      <c r="E90" s="8" t="n">
        <v>0</v>
      </c>
      <c r="F90" s="8" t="n">
        <v>0</v>
      </c>
      <c r="G90" s="8" t="n">
        <v>11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88</v>
      </c>
      <c r="O90" s="8" t="n">
        <v>71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</row>
    <row r="91" ht="19" customHeight="1">
      <c r="A91" s="9" t="inlineStr">
        <is>
          <t xml:space="preserve">    ARMAN RANJAN</t>
        </is>
      </c>
      <c r="B91" s="10">
        <f>D91+F91+H91+J91+L91+N91+P91+R91+T91+V91+X91</f>
        <v/>
      </c>
      <c r="C91" s="10">
        <f>E91+G91+I91+K91+M91+O91+Q91+S91+U91+W91+Y91</f>
        <v/>
      </c>
      <c r="D91" s="10" t="n">
        <v>0</v>
      </c>
      <c r="E91" s="10" t="n">
        <v>0</v>
      </c>
      <c r="F91" s="10" t="n">
        <v>0</v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7</v>
      </c>
      <c r="O91" s="10" t="n">
        <v>10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</row>
    <row r="92" ht="19" customHeight="1">
      <c r="A92" s="7" t="inlineStr">
        <is>
          <t xml:space="preserve">    BHARAT ENTERPRISES (PATHWAY SOLUTION)</t>
        </is>
      </c>
      <c r="B92" s="8">
        <f>D92+F92+H92+J92+L92+N92+P92+R92+T92+V92+X92</f>
        <v/>
      </c>
      <c r="C92" s="8">
        <f>E92+G92+I92+K92+M92+O92+Q92+S92+U92+W92+Y92</f>
        <v/>
      </c>
      <c r="D92" s="8" t="n">
        <v>0</v>
      </c>
      <c r="E92" s="8" t="n">
        <v>0</v>
      </c>
      <c r="F92" s="8" t="n">
        <v>0</v>
      </c>
      <c r="G92" s="8" t="n">
        <v>33</v>
      </c>
      <c r="H92" s="8" t="n">
        <v>12</v>
      </c>
      <c r="I92" s="8" t="n">
        <v>0</v>
      </c>
      <c r="J92" s="8" t="n">
        <v>8</v>
      </c>
      <c r="K92" s="8" t="n">
        <v>94</v>
      </c>
      <c r="L92" s="8" t="n">
        <v>3</v>
      </c>
      <c r="M92" s="8" t="n">
        <v>7</v>
      </c>
      <c r="N92" s="8" t="n">
        <v>170</v>
      </c>
      <c r="O92" s="8" t="n">
        <v>145</v>
      </c>
      <c r="P92" s="8" t="n">
        <v>2</v>
      </c>
      <c r="Q92" s="8" t="n">
        <v>2</v>
      </c>
      <c r="R92" s="8" t="n">
        <v>0</v>
      </c>
      <c r="S92" s="8" t="n">
        <v>0</v>
      </c>
      <c r="T92" s="8" t="n">
        <v>27</v>
      </c>
      <c r="U92" s="8" t="n">
        <v>112</v>
      </c>
      <c r="V92" s="8" t="n">
        <v>0</v>
      </c>
      <c r="W92" s="8" t="n">
        <v>0</v>
      </c>
      <c r="X92" s="8" t="n">
        <v>0</v>
      </c>
      <c r="Y92" s="8" t="n">
        <v>0</v>
      </c>
    </row>
    <row r="93" ht="19" customHeight="1">
      <c r="A93" s="9" t="inlineStr">
        <is>
          <t xml:space="preserve">    CAPITAL CALL SERVICE</t>
        </is>
      </c>
      <c r="B93" s="10">
        <f>D93+F93+H93+J93+L93+N93+P93+R93+T93+V93+X93</f>
        <v/>
      </c>
      <c r="C93" s="10">
        <f>E93+G93+I93+K93+M93+O93+Q93+S93+U93+W93+Y93</f>
        <v/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2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</row>
    <row r="94" ht="19" customHeight="1">
      <c r="A94" s="7" t="inlineStr">
        <is>
          <t xml:space="preserve">    CARDS EXPERTS</t>
        </is>
      </c>
      <c r="B94" s="8">
        <f>D94+F94+H94+J94+L94+N94+P94+R94+T94+V94+X94</f>
        <v/>
      </c>
      <c r="C94" s="8">
        <f>E94+G94+I94+K94+M94+O94+Q94+S94+U94+W94+Y94</f>
        <v/>
      </c>
      <c r="D94" s="8" t="n">
        <v>0</v>
      </c>
      <c r="E94" s="8" t="n">
        <v>0</v>
      </c>
      <c r="F94" s="8" t="n">
        <v>0</v>
      </c>
      <c r="G94" s="8" t="n">
        <v>66</v>
      </c>
      <c r="H94" s="8" t="n">
        <v>0</v>
      </c>
      <c r="I94" s="8" t="n">
        <v>0</v>
      </c>
      <c r="J94" s="8" t="n">
        <v>7</v>
      </c>
      <c r="K94" s="8" t="n">
        <v>0</v>
      </c>
      <c r="L94" s="8" t="n">
        <v>0</v>
      </c>
      <c r="M94" s="8" t="n">
        <v>0</v>
      </c>
      <c r="N94" s="8" t="n">
        <v>12</v>
      </c>
      <c r="O94" s="8" t="n">
        <v>25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2</v>
      </c>
      <c r="V94" s="8" t="n">
        <v>0</v>
      </c>
      <c r="W94" s="8" t="n">
        <v>0</v>
      </c>
      <c r="X94" s="8" t="n">
        <v>0</v>
      </c>
      <c r="Y94" s="8" t="n">
        <v>0</v>
      </c>
    </row>
    <row r="95" ht="19" customHeight="1">
      <c r="A95" s="9" t="inlineStr">
        <is>
          <t xml:space="preserve">    DEBSTER MEDIA PRIVATE LIMITED</t>
        </is>
      </c>
      <c r="B95" s="10">
        <f>D95+F95+H95+J95+L95+N95+P95+R95+T95+V95+X95</f>
        <v/>
      </c>
      <c r="C95" s="10">
        <f>E95+G95+I95+K95+M95+O95+Q95+S95+U95+W95+Y95</f>
        <v/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3</v>
      </c>
      <c r="M95" s="10" t="n">
        <v>3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</row>
    <row r="96" ht="19" customHeight="1">
      <c r="A96" s="7" t="inlineStr">
        <is>
          <t xml:space="preserve">    ARPAN TYAGI</t>
        </is>
      </c>
      <c r="B96" s="8">
        <f>D96+F96+H96+J96+L96+N96+P96+R96+T96+V96+X96</f>
        <v/>
      </c>
      <c r="C96" s="8">
        <f>E96+G96+I96+K96+M96+O96+Q96+S96+U96+W96+Y96</f>
        <v/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6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</row>
    <row r="97" ht="19" customHeight="1">
      <c r="A97" s="9" t="inlineStr">
        <is>
          <t xml:space="preserve">    KHUSHBOO SINGH</t>
        </is>
      </c>
      <c r="B97" s="10">
        <f>D97+F97+H97+J97+L97+N97+P97+R97+T97+V97+X97</f>
        <v/>
      </c>
      <c r="C97" s="10">
        <f>E97+G97+I97+K97+M97+O97+Q97+S97+U97+W97+Y97</f>
        <v/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1</v>
      </c>
      <c r="N97" s="10" t="n">
        <v>50</v>
      </c>
      <c r="O97" s="10" t="n">
        <v>14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</row>
    <row r="98" ht="19" customHeight="1">
      <c r="A98" s="7" t="inlineStr">
        <is>
          <t xml:space="preserve">    RAHUL</t>
        </is>
      </c>
      <c r="B98" s="8">
        <f>D98+F98+H98+J98+L98+N98+P98+R98+T98+V98+X98</f>
        <v/>
      </c>
      <c r="C98" s="8">
        <f>E98+G98+I98+K98+M98+O98+Q98+S98+U98+W98+Y98</f>
        <v/>
      </c>
      <c r="D98" s="8" t="n">
        <v>0</v>
      </c>
      <c r="E98" s="8" t="n">
        <v>0</v>
      </c>
      <c r="F98" s="8" t="n">
        <v>0</v>
      </c>
      <c r="G98" s="8" t="n">
        <v>2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1</v>
      </c>
      <c r="O98" s="8" t="n">
        <v>18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5</v>
      </c>
      <c r="V98" s="8" t="n">
        <v>0</v>
      </c>
      <c r="W98" s="8" t="n">
        <v>0</v>
      </c>
      <c r="X98" s="8" t="n">
        <v>0</v>
      </c>
      <c r="Y98" s="8" t="n">
        <v>0</v>
      </c>
    </row>
    <row r="99" ht="19" customHeight="1">
      <c r="A99" s="9" t="inlineStr">
        <is>
          <t xml:space="preserve">    AMIT KUMAR SHARMA</t>
        </is>
      </c>
      <c r="B99" s="10">
        <f>D99+F99+H99+J99+L99+N99+P99+R99+T99+V99+X99</f>
        <v/>
      </c>
      <c r="C99" s="10">
        <f>E99+G99+I99+K99+M99+O99+Q99+S99+U99+W99+Y99</f>
        <v/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120</v>
      </c>
      <c r="U99" s="10" t="n">
        <v>87</v>
      </c>
      <c r="V99" s="10" t="n">
        <v>0</v>
      </c>
      <c r="W99" s="10" t="n">
        <v>0</v>
      </c>
      <c r="X99" s="10" t="n">
        <v>0</v>
      </c>
      <c r="Y99" s="10" t="n">
        <v>0</v>
      </c>
    </row>
    <row r="100" ht="19" customHeight="1">
      <c r="A100" s="7" t="inlineStr">
        <is>
          <t xml:space="preserve">    MONEY MART</t>
        </is>
      </c>
      <c r="B100" s="8">
        <f>D100+F100+H100+J100+L100+N100+P100+R100+T100+V100+X100</f>
        <v/>
      </c>
      <c r="C100" s="8">
        <f>E100+G100+I100+K100+M100+O100+Q100+S100+U100+W100+Y100</f>
        <v/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7</v>
      </c>
      <c r="U100" s="8" t="n">
        <v>12</v>
      </c>
      <c r="V100" s="8" t="n">
        <v>0</v>
      </c>
      <c r="W100" s="8" t="n">
        <v>0</v>
      </c>
      <c r="X100" s="8" t="n">
        <v>0</v>
      </c>
      <c r="Y100" s="8" t="n">
        <v>0</v>
      </c>
    </row>
    <row r="101" ht="19" customHeight="1">
      <c r="A101" s="9" t="inlineStr">
        <is>
          <t xml:space="preserve">    NEHA SAINI</t>
        </is>
      </c>
      <c r="B101" s="10">
        <f>D101+F101+H101+J101+L101+N101+P101+R101+T101+V101+X101</f>
        <v/>
      </c>
      <c r="C101" s="10">
        <f>E101+G101+I101+K101+M101+O101+Q101+S101+U101+W101+Y101</f>
        <v/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16</v>
      </c>
      <c r="O101" s="10" t="n">
        <v>18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</row>
    <row r="102" ht="19" customHeight="1">
      <c r="A102" s="7" t="inlineStr">
        <is>
          <t xml:space="preserve">    S &amp; P FINANCIAL SOLUTIONS</t>
        </is>
      </c>
      <c r="B102" s="8">
        <f>D102+F102+H102+J102+L102+N102+P102+R102+T102+V102+X102</f>
        <v/>
      </c>
      <c r="C102" s="8">
        <f>E102+G102+I102+K102+M102+O102+Q102+S102+U102+W102+Y102</f>
        <v/>
      </c>
      <c r="D102" s="8" t="n">
        <v>0</v>
      </c>
      <c r="E102" s="8" t="n">
        <v>0</v>
      </c>
      <c r="F102" s="8" t="n">
        <v>0</v>
      </c>
      <c r="G102" s="8" t="n">
        <v>4</v>
      </c>
      <c r="H102" s="8" t="n">
        <v>0</v>
      </c>
      <c r="I102" s="8" t="n">
        <v>0</v>
      </c>
      <c r="J102" s="8" t="n">
        <v>3</v>
      </c>
      <c r="K102" s="8" t="n">
        <v>8</v>
      </c>
      <c r="L102" s="8" t="n">
        <v>0</v>
      </c>
      <c r="M102" s="8" t="n">
        <v>0</v>
      </c>
      <c r="N102" s="8" t="n">
        <v>8</v>
      </c>
      <c r="O102" s="8" t="n">
        <v>15</v>
      </c>
      <c r="P102" s="8" t="n">
        <v>0</v>
      </c>
      <c r="Q102" s="8" t="n">
        <v>1</v>
      </c>
      <c r="R102" s="8" t="n">
        <v>0</v>
      </c>
      <c r="S102" s="8" t="n">
        <v>0</v>
      </c>
      <c r="T102" s="8" t="n">
        <v>40</v>
      </c>
      <c r="U102" s="8" t="n">
        <v>40</v>
      </c>
      <c r="V102" s="8" t="n">
        <v>0</v>
      </c>
      <c r="W102" s="8" t="n">
        <v>0</v>
      </c>
      <c r="X102" s="8" t="n">
        <v>0</v>
      </c>
      <c r="Y102" s="8" t="n">
        <v>0</v>
      </c>
    </row>
    <row r="103" ht="19" customHeight="1">
      <c r="A103" s="9" t="inlineStr">
        <is>
          <t xml:space="preserve">    SUKRITI MANDAL</t>
        </is>
      </c>
      <c r="B103" s="10">
        <f>D103+F103+H103+J103+L103+N103+P103+R103+T103+V103+X103</f>
        <v/>
      </c>
      <c r="C103" s="10">
        <f>E103+G103+I103+K103+M103+O103+Q103+S103+U103+W103+Y103</f>
        <v/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76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</row>
    <row r="104" ht="19" customHeight="1">
      <c r="A104" s="7" t="inlineStr">
        <is>
          <t xml:space="preserve">    SANJAY SAINI</t>
        </is>
      </c>
      <c r="B104" s="8">
        <f>D104+F104+H104+J104+L104+N104+P104+R104+T104+V104+X104</f>
        <v/>
      </c>
      <c r="C104" s="8">
        <f>E104+G104+I104+K104+M104+O104+Q104+S104+U104+W104+Y104</f>
        <v/>
      </c>
      <c r="D104" s="8" t="n">
        <v>0</v>
      </c>
      <c r="E104" s="8" t="n">
        <v>1</v>
      </c>
      <c r="F104" s="8" t="n">
        <v>19</v>
      </c>
      <c r="G104" s="8" t="n">
        <v>20</v>
      </c>
      <c r="H104" s="8" t="n">
        <v>0</v>
      </c>
      <c r="I104" s="8" t="n">
        <v>0</v>
      </c>
      <c r="J104" s="8" t="n">
        <v>12</v>
      </c>
      <c r="K104" s="8" t="n">
        <v>13</v>
      </c>
      <c r="L104" s="8" t="n">
        <v>4</v>
      </c>
      <c r="M104" s="8" t="n">
        <v>1</v>
      </c>
      <c r="N104" s="8" t="n">
        <v>9</v>
      </c>
      <c r="O104" s="8" t="n">
        <v>10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14</v>
      </c>
      <c r="U104" s="8" t="n">
        <v>6</v>
      </c>
      <c r="V104" s="8" t="n">
        <v>0</v>
      </c>
      <c r="W104" s="8" t="n">
        <v>0</v>
      </c>
      <c r="X104" s="8" t="n">
        <v>0</v>
      </c>
      <c r="Y104" s="8" t="n">
        <v>0</v>
      </c>
    </row>
    <row r="105" ht="19" customHeight="1">
      <c r="A105" s="9" t="inlineStr">
        <is>
          <t xml:space="preserve">    TEJPAL SINGH</t>
        </is>
      </c>
      <c r="B105" s="10">
        <f>D105+F105+H105+J105+L105+N105+P105+R105+T105+V105+X105</f>
        <v/>
      </c>
      <c r="C105" s="10">
        <f>E105+G105+I105+K105+M105+O105+Q105+S105+U105+W105+Y105</f>
        <v/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</row>
    <row r="106" ht="19" customHeight="1">
      <c r="A106" s="7" t="inlineStr">
        <is>
          <t xml:space="preserve">    SKY HEIGHTS OUTSOURCING SOLUTIONS</t>
        </is>
      </c>
      <c r="B106" s="8">
        <f>D106+F106+H106+J106+L106+N106+P106+R106+T106+V106+X106</f>
        <v/>
      </c>
      <c r="C106" s="8">
        <f>E106+G106+I106+K106+M106+O106+Q106+S106+U106+W106+Y106</f>
        <v/>
      </c>
      <c r="D106" s="8" t="n">
        <v>0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86</v>
      </c>
      <c r="K106" s="8" t="n">
        <v>92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25</v>
      </c>
      <c r="Q106" s="8" t="n">
        <v>69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</row>
    <row r="107" ht="19" customHeight="1">
      <c r="A107" s="9" t="inlineStr">
        <is>
          <t xml:space="preserve">    PREETAM</t>
        </is>
      </c>
      <c r="B107" s="10">
        <f>D107+F107+H107+J107+L107+N107+P107+R107+T107+V107+X107</f>
        <v/>
      </c>
      <c r="C107" s="10">
        <f>E107+G107+I107+K107+M107+O107+Q107+S107+U107+W107+Y107</f>
        <v/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4</v>
      </c>
      <c r="U107" s="10" t="n">
        <v>13</v>
      </c>
      <c r="V107" s="10" t="n">
        <v>0</v>
      </c>
      <c r="W107" s="10" t="n">
        <v>0</v>
      </c>
      <c r="X107" s="10" t="n">
        <v>0</v>
      </c>
      <c r="Y107" s="10" t="n">
        <v>0</v>
      </c>
    </row>
    <row r="108" ht="19" customHeight="1">
      <c r="A108" s="7" t="inlineStr">
        <is>
          <t xml:space="preserve">    RN CARD EXPERTISE PRIVATE LIMITED</t>
        </is>
      </c>
      <c r="B108" s="8">
        <f>D108+F108+H108+J108+L108+N108+P108+R108+T108+V108+X108</f>
        <v/>
      </c>
      <c r="C108" s="8">
        <f>E108+G108+I108+K108+M108+O108+Q108+S108+U108+W108+Y108</f>
        <v/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113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</row>
    <row r="109" ht="19" customHeight="1">
      <c r="A109" s="9" t="inlineStr">
        <is>
          <t xml:space="preserve">    ZAHID</t>
        </is>
      </c>
      <c r="B109" s="10">
        <f>D109+F109+H109+J109+L109+N109+P109+R109+T109+V109+X109</f>
        <v/>
      </c>
      <c r="C109" s="10">
        <f>E109+G109+I109+K109+M109+O109+Q109+S109+U109+W109+Y109</f>
        <v/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38</v>
      </c>
      <c r="O109" s="10" t="n">
        <v>18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</row>
    <row r="110" ht="19" customHeight="1">
      <c r="A110" s="7" t="inlineStr">
        <is>
          <t xml:space="preserve">    VIKAS</t>
        </is>
      </c>
      <c r="B110" s="8">
        <f>D110+F110+H110+J110+L110+N110+P110+R110+T110+V110+X110</f>
        <v/>
      </c>
      <c r="C110" s="8">
        <f>E110+G110+I110+K110+M110+O110+Q110+S110+U110+W110+Y110</f>
        <v/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140</v>
      </c>
      <c r="O110" s="8" t="n">
        <v>7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</row>
    <row r="111" ht="19" customHeight="1">
      <c r="A111" s="9" t="inlineStr">
        <is>
          <t xml:space="preserve">    VARSHA RANI</t>
        </is>
      </c>
      <c r="B111" s="10">
        <f>D111+F111+H111+J111+L111+N111+P111+R111+T111+V111+X111</f>
        <v/>
      </c>
      <c r="C111" s="10">
        <f>E111+G111+I111+K111+M111+O111+Q111+S111+U111+W111+Y111</f>
        <v/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3</v>
      </c>
      <c r="O111" s="10" t="n">
        <v>1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45</v>
      </c>
      <c r="U111" s="10" t="n">
        <v>43</v>
      </c>
      <c r="V111" s="10" t="n">
        <v>0</v>
      </c>
      <c r="W111" s="10" t="n">
        <v>0</v>
      </c>
      <c r="X111" s="10" t="n">
        <v>0</v>
      </c>
      <c r="Y111" s="10" t="n">
        <v>0</v>
      </c>
    </row>
    <row r="112" ht="19" customHeight="1">
      <c r="A112" s="7" t="inlineStr">
        <is>
          <t xml:space="preserve">    SANTOSH KUMAR SHARMA</t>
        </is>
      </c>
      <c r="B112" s="8">
        <f>D112+F112+H112+J112+L112+N112+P112+R112+T112+V112+X112</f>
        <v/>
      </c>
      <c r="C112" s="8">
        <f>E112+G112+I112+K112+M112+O112+Q112+S112+U112+W112+Y112</f>
        <v/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2</v>
      </c>
      <c r="Q112" s="8" t="n">
        <v>3</v>
      </c>
      <c r="R112" s="8" t="n">
        <v>0</v>
      </c>
      <c r="S112" s="8" t="n">
        <v>0</v>
      </c>
      <c r="T112" s="8" t="n">
        <v>0</v>
      </c>
      <c r="U112" s="8" t="n">
        <v>18</v>
      </c>
      <c r="V112" s="8" t="n">
        <v>0</v>
      </c>
      <c r="W112" s="8" t="n">
        <v>0</v>
      </c>
      <c r="X112" s="8" t="n">
        <v>0</v>
      </c>
      <c r="Y112" s="8" t="n">
        <v>0</v>
      </c>
    </row>
    <row r="113" ht="19" customHeight="1">
      <c r="A113" s="9" t="inlineStr">
        <is>
          <t xml:space="preserve">    SHRESHREY CARD SERVICES PRIVATE LIMITED</t>
        </is>
      </c>
      <c r="B113" s="10">
        <f>D113+F113+H113+J113+L113+N113+P113+R113+T113+V113+X113</f>
        <v/>
      </c>
      <c r="C113" s="10">
        <f>E113+G113+I113+K113+M113+O113+Q113+S113+U113+W113+Y113</f>
        <v/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6</v>
      </c>
      <c r="W113" s="10" t="n">
        <v>30</v>
      </c>
      <c r="X113" s="10" t="n">
        <v>0</v>
      </c>
      <c r="Y113" s="10" t="n">
        <v>0</v>
      </c>
    </row>
    <row r="114" ht="19" customHeight="1">
      <c r="A114" s="7" t="inlineStr">
        <is>
          <t xml:space="preserve">    UMA SINGH ( SHIVI CARDS SERVICES)</t>
        </is>
      </c>
      <c r="B114" s="8">
        <f>D114+F114+H114+J114+L114+N114+P114+R114+T114+V114+X114</f>
        <v/>
      </c>
      <c r="C114" s="8">
        <f>E114+G114+I114+K114+M114+O114+Q114+S114+U114+W114+Y114</f>
        <v/>
      </c>
      <c r="D114" s="8" t="n">
        <v>0</v>
      </c>
      <c r="E114" s="8" t="n">
        <v>0</v>
      </c>
      <c r="F114" s="8" t="n">
        <v>14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5</v>
      </c>
      <c r="M114" s="8" t="n">
        <v>2</v>
      </c>
      <c r="N114" s="8" t="n">
        <v>0</v>
      </c>
      <c r="O114" s="8" t="n">
        <v>1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100</v>
      </c>
      <c r="U114" s="8" t="n">
        <v>261</v>
      </c>
      <c r="V114" s="8" t="n">
        <v>0</v>
      </c>
      <c r="W114" s="8" t="n">
        <v>0</v>
      </c>
      <c r="X114" s="8" t="n">
        <v>0</v>
      </c>
      <c r="Y114" s="8" t="n">
        <v>10</v>
      </c>
    </row>
    <row r="115" ht="19" customHeight="1">
      <c r="A115" s="9" t="inlineStr">
        <is>
          <t xml:space="preserve">    RUPI BAZAAR FINTECH PVT LTD</t>
        </is>
      </c>
      <c r="B115" s="10">
        <f>D115+F115+H115+J115+L115+N115+P115+R115+T115+V115+X115</f>
        <v/>
      </c>
      <c r="C115" s="10">
        <f>E115+G115+I115+K115+M115+O115+Q115+S115+U115+W115+Y115</f>
        <v/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4</v>
      </c>
      <c r="M115" s="10" t="n">
        <v>5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</row>
    <row r="116" ht="22" customHeight="1">
      <c r="A116" s="5" t="inlineStr">
        <is>
          <t>★ MANAGER: ALKESH SHUKLA</t>
        </is>
      </c>
      <c r="B116" s="6">
        <f>SUM(B117:B123)</f>
        <v/>
      </c>
      <c r="C116" s="6">
        <f>SUM(C117:C123)</f>
        <v/>
      </c>
      <c r="D116" s="6">
        <f>SUM(D117:D123)</f>
        <v/>
      </c>
      <c r="E116" s="6">
        <f>SUM(E117:E123)</f>
        <v/>
      </c>
      <c r="F116" s="6">
        <f>SUM(F117:F123)</f>
        <v/>
      </c>
      <c r="G116" s="6">
        <f>SUM(G117:G123)</f>
        <v/>
      </c>
      <c r="H116" s="6">
        <f>SUM(H117:H123)</f>
        <v/>
      </c>
      <c r="I116" s="6">
        <f>SUM(I117:I123)</f>
        <v/>
      </c>
      <c r="J116" s="6">
        <f>SUM(J117:J123)</f>
        <v/>
      </c>
      <c r="K116" s="6">
        <f>SUM(K117:K123)</f>
        <v/>
      </c>
      <c r="L116" s="6">
        <f>SUM(L117:L123)</f>
        <v/>
      </c>
      <c r="M116" s="6">
        <f>SUM(M117:M123)</f>
        <v/>
      </c>
      <c r="N116" s="6">
        <f>SUM(N117:N123)</f>
        <v/>
      </c>
      <c r="O116" s="6">
        <f>SUM(O117:O123)</f>
        <v/>
      </c>
      <c r="P116" s="6">
        <f>SUM(P117:P123)</f>
        <v/>
      </c>
      <c r="Q116" s="6">
        <f>SUM(Q117:Q123)</f>
        <v/>
      </c>
      <c r="R116" s="6">
        <f>SUM(R117:R123)</f>
        <v/>
      </c>
      <c r="S116" s="6">
        <f>SUM(S117:S123)</f>
        <v/>
      </c>
      <c r="T116" s="6">
        <f>SUM(T117:T123)</f>
        <v/>
      </c>
      <c r="U116" s="6">
        <f>SUM(U117:U123)</f>
        <v/>
      </c>
      <c r="V116" s="6">
        <f>SUM(V117:V123)</f>
        <v/>
      </c>
      <c r="W116" s="6">
        <f>SUM(W117:W123)</f>
        <v/>
      </c>
      <c r="X116" s="6">
        <f>SUM(X117:X123)</f>
        <v/>
      </c>
      <c r="Y116" s="6">
        <f>SUM(Y117:Y123)</f>
        <v/>
      </c>
    </row>
    <row r="117" ht="19" customHeight="1">
      <c r="A117" s="7" t="inlineStr">
        <is>
          <t xml:space="preserve">    ABHISHEK CHANYAL</t>
        </is>
      </c>
      <c r="B117" s="8">
        <f>D117+F117+H117+J117+L117+N117+P117+R117+T117+V117+X117</f>
        <v/>
      </c>
      <c r="C117" s="8">
        <f>E117+G117+I117+K117+M117+O117+Q117+S117+U117+W117+Y117</f>
        <v/>
      </c>
      <c r="D117" s="8" t="n">
        <v>0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13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5</v>
      </c>
      <c r="R117" s="8" t="n">
        <v>0</v>
      </c>
      <c r="S117" s="8" t="n">
        <v>0</v>
      </c>
      <c r="T117" s="8" t="n">
        <v>0</v>
      </c>
      <c r="U117" s="8" t="n">
        <v>2</v>
      </c>
      <c r="V117" s="8" t="n">
        <v>0</v>
      </c>
      <c r="W117" s="8" t="n">
        <v>0</v>
      </c>
      <c r="X117" s="8" t="n">
        <v>0</v>
      </c>
      <c r="Y117" s="8" t="n">
        <v>0</v>
      </c>
    </row>
    <row r="118" ht="19" customHeight="1">
      <c r="A118" s="9" t="inlineStr">
        <is>
          <t xml:space="preserve">    MADHU YADAV</t>
        </is>
      </c>
      <c r="B118" s="10">
        <f>D118+F118+H118+J118+L118+N118+P118+R118+T118+V118+X118</f>
        <v/>
      </c>
      <c r="C118" s="10">
        <f>E118+G118+I118+K118+M118+O118+Q118+S118+U118+W118+Y118</f>
        <v/>
      </c>
      <c r="D118" s="10" t="n">
        <v>0</v>
      </c>
      <c r="E118" s="10" t="n">
        <v>1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1</v>
      </c>
      <c r="K118" s="10" t="n">
        <v>2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</row>
    <row r="119" ht="19" customHeight="1">
      <c r="A119" s="7" t="inlineStr">
        <is>
          <t xml:space="preserve">    RITU SHUKLA</t>
        </is>
      </c>
      <c r="B119" s="8">
        <f>D119+F119+H119+J119+L119+N119+P119+R119+T119+V119+X119</f>
        <v/>
      </c>
      <c r="C119" s="8">
        <f>E119+G119+I119+K119+M119+O119+Q119+S119+U119+W119+Y119</f>
        <v/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26</v>
      </c>
      <c r="K119" s="8" t="n">
        <v>26</v>
      </c>
      <c r="L119" s="8" t="n">
        <v>2</v>
      </c>
      <c r="M119" s="8" t="n">
        <v>0</v>
      </c>
      <c r="N119" s="8" t="n">
        <v>3</v>
      </c>
      <c r="O119" s="8" t="n">
        <v>0</v>
      </c>
      <c r="P119" s="8" t="n">
        <v>0</v>
      </c>
      <c r="Q119" s="8" t="n">
        <v>1</v>
      </c>
      <c r="R119" s="8" t="n">
        <v>0</v>
      </c>
      <c r="S119" s="8" t="n">
        <v>0</v>
      </c>
      <c r="T119" s="8" t="n">
        <v>0</v>
      </c>
      <c r="U119" s="8" t="n">
        <v>6</v>
      </c>
      <c r="V119" s="8" t="n">
        <v>0</v>
      </c>
      <c r="W119" s="8" t="n">
        <v>0</v>
      </c>
      <c r="X119" s="8" t="n">
        <v>0</v>
      </c>
      <c r="Y119" s="8" t="n">
        <v>0</v>
      </c>
    </row>
    <row r="120" ht="19" customHeight="1">
      <c r="A120" s="9" t="inlineStr">
        <is>
          <t xml:space="preserve">    ZAINAB NADEEM</t>
        </is>
      </c>
      <c r="B120" s="10">
        <f>D120+F120+H120+J120+L120+N120+P120+R120+T120+V120+X120</f>
        <v/>
      </c>
      <c r="C120" s="10">
        <f>E120+G120+I120+K120+M120+O120+Q120+S120+U120+W120+Y120</f>
        <v/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2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1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</row>
    <row r="121" ht="19" customHeight="1">
      <c r="A121" s="7" t="inlineStr">
        <is>
          <t xml:space="preserve">    UPENDRA KUMAR SINGH</t>
        </is>
      </c>
      <c r="B121" s="8">
        <f>D121+F121+H121+J121+L121+N121+P121+R121+T121+V121+X121</f>
        <v/>
      </c>
      <c r="C121" s="8">
        <f>E121+G121+I121+K121+M121+O121+Q121+S121+U121+W121+Y121</f>
        <v/>
      </c>
      <c r="D121" s="8" t="n">
        <v>0</v>
      </c>
      <c r="E121" s="8" t="n">
        <v>0</v>
      </c>
      <c r="F121" s="8" t="n">
        <v>6</v>
      </c>
      <c r="G121" s="8" t="n">
        <v>1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</row>
    <row r="122" ht="19" customHeight="1">
      <c r="A122" s="9" t="inlineStr">
        <is>
          <t xml:space="preserve">    VIJAY RASTOGI</t>
        </is>
      </c>
      <c r="B122" s="10">
        <f>D122+F122+H122+J122+L122+N122+P122+R122+T122+V122+X122</f>
        <v/>
      </c>
      <c r="C122" s="10">
        <f>E122+G122+I122+K122+M122+O122+Q122+S122+U122+W122+Y122</f>
        <v/>
      </c>
      <c r="D122" s="10" t="n">
        <v>0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2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</row>
    <row r="123" ht="19" customHeight="1">
      <c r="A123" s="7" t="inlineStr">
        <is>
          <t xml:space="preserve">    VIPIN KUMAR TIWARI</t>
        </is>
      </c>
      <c r="B123" s="8">
        <f>D123+F123+H123+J123+L123+N123+P123+R123+T123+V123+X123</f>
        <v/>
      </c>
      <c r="C123" s="8">
        <f>E123+G123+I123+K123+M123+O123+Q123+S123+U123+W123+Y123</f>
        <v/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35</v>
      </c>
      <c r="K123" s="8" t="n">
        <v>1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</row>
    <row r="124" ht="22" customHeight="1">
      <c r="A124" s="5" t="inlineStr">
        <is>
          <t>★ MANAGER: ZEESHAN HAIDER</t>
        </is>
      </c>
      <c r="B124" s="6">
        <f>SUM(B125:B139)</f>
        <v/>
      </c>
      <c r="C124" s="6">
        <f>SUM(C125:C139)</f>
        <v/>
      </c>
      <c r="D124" s="6">
        <f>SUM(D125:D139)</f>
        <v/>
      </c>
      <c r="E124" s="6">
        <f>SUM(E125:E139)</f>
        <v/>
      </c>
      <c r="F124" s="6">
        <f>SUM(F125:F139)</f>
        <v/>
      </c>
      <c r="G124" s="6">
        <f>SUM(G125:G139)</f>
        <v/>
      </c>
      <c r="H124" s="6">
        <f>SUM(H125:H139)</f>
        <v/>
      </c>
      <c r="I124" s="6">
        <f>SUM(I125:I139)</f>
        <v/>
      </c>
      <c r="J124" s="6">
        <f>SUM(J125:J139)</f>
        <v/>
      </c>
      <c r="K124" s="6">
        <f>SUM(K125:K139)</f>
        <v/>
      </c>
      <c r="L124" s="6">
        <f>SUM(L125:L139)</f>
        <v/>
      </c>
      <c r="M124" s="6">
        <f>SUM(M125:M139)</f>
        <v/>
      </c>
      <c r="N124" s="6">
        <f>SUM(N125:N139)</f>
        <v/>
      </c>
      <c r="O124" s="6">
        <f>SUM(O125:O139)</f>
        <v/>
      </c>
      <c r="P124" s="6">
        <f>SUM(P125:P139)</f>
        <v/>
      </c>
      <c r="Q124" s="6">
        <f>SUM(Q125:Q139)</f>
        <v/>
      </c>
      <c r="R124" s="6">
        <f>SUM(R125:R139)</f>
        <v/>
      </c>
      <c r="S124" s="6">
        <f>SUM(S125:S139)</f>
        <v/>
      </c>
      <c r="T124" s="6">
        <f>SUM(T125:T139)</f>
        <v/>
      </c>
      <c r="U124" s="6">
        <f>SUM(U125:U139)</f>
        <v/>
      </c>
      <c r="V124" s="6">
        <f>SUM(V125:V139)</f>
        <v/>
      </c>
      <c r="W124" s="6">
        <f>SUM(W125:W139)</f>
        <v/>
      </c>
      <c r="X124" s="6">
        <f>SUM(X125:X139)</f>
        <v/>
      </c>
      <c r="Y124" s="6">
        <f>SUM(Y125:Y139)</f>
        <v/>
      </c>
    </row>
    <row r="125" ht="19" customHeight="1">
      <c r="A125" s="7" t="inlineStr">
        <is>
          <t xml:space="preserve">    ZEESHAN</t>
        </is>
      </c>
      <c r="B125" s="8">
        <f>D125+F125+H125+J125+L125+N125+P125+R125+T125+V125+X125</f>
        <v/>
      </c>
      <c r="C125" s="8">
        <f>E125+G125+I125+K125+M125+O125+Q125+S125+U125+W125+Y125</f>
        <v/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99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</row>
    <row r="126" ht="19" customHeight="1">
      <c r="A126" s="9" t="inlineStr">
        <is>
          <t xml:space="preserve">    AFSANA BEGUM/AMIRUL</t>
        </is>
      </c>
      <c r="B126" s="10">
        <f>D126+F126+H126+J126+L126+N126+P126+R126+T126+V126+X126</f>
        <v/>
      </c>
      <c r="C126" s="10">
        <f>E126+G126+I126+K126+M126+O126+Q126+S126+U126+W126+Y126</f>
        <v/>
      </c>
      <c r="D126" s="10" t="n">
        <v>0</v>
      </c>
      <c r="E126" s="10" t="n">
        <v>0</v>
      </c>
      <c r="F126" s="10" t="n">
        <v>0</v>
      </c>
      <c r="G126" s="10" t="n">
        <v>3</v>
      </c>
      <c r="H126" s="10" t="n">
        <v>0</v>
      </c>
      <c r="I126" s="10" t="n">
        <v>0</v>
      </c>
      <c r="J126" s="10" t="n">
        <v>4</v>
      </c>
      <c r="K126" s="10" t="n">
        <v>26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4</v>
      </c>
      <c r="V126" s="10" t="n">
        <v>0</v>
      </c>
      <c r="W126" s="10" t="n">
        <v>0</v>
      </c>
      <c r="X126" s="10" t="n">
        <v>0</v>
      </c>
      <c r="Y126" s="10" t="n">
        <v>0</v>
      </c>
    </row>
    <row r="127" ht="19" customHeight="1">
      <c r="A127" s="7" t="inlineStr">
        <is>
          <t xml:space="preserve">    ADVENTURIA THRILL INDIA PRIVATE LIMITED</t>
        </is>
      </c>
      <c r="B127" s="8">
        <f>D127+F127+H127+J127+L127+N127+P127+R127+T127+V127+X127</f>
        <v/>
      </c>
      <c r="C127" s="8">
        <f>E127+G127+I127+K127+M127+O127+Q127+S127+U127+W127+Y127</f>
        <v/>
      </c>
      <c r="D127" s="8" t="n">
        <v>0</v>
      </c>
      <c r="E127" s="8" t="n">
        <v>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96</v>
      </c>
      <c r="U127" s="8" t="n">
        <v>147</v>
      </c>
      <c r="V127" s="8" t="n">
        <v>0</v>
      </c>
      <c r="W127" s="8" t="n">
        <v>1</v>
      </c>
      <c r="X127" s="8" t="n">
        <v>0</v>
      </c>
      <c r="Y127" s="8" t="n">
        <v>3</v>
      </c>
    </row>
    <row r="128" ht="19" customHeight="1">
      <c r="A128" s="9" t="inlineStr">
        <is>
          <t xml:space="preserve">    CREDITLO BUSINESS SOLUTIONS</t>
        </is>
      </c>
      <c r="B128" s="10">
        <f>D128+F128+H128+J128+L128+N128+P128+R128+T128+V128+X128</f>
        <v/>
      </c>
      <c r="C128" s="10">
        <f>E128+G128+I128+K128+M128+O128+Q128+S128+U128+W128+Y128</f>
        <v/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6</v>
      </c>
      <c r="Q128" s="10" t="n">
        <v>20</v>
      </c>
      <c r="R128" s="10" t="n">
        <v>0</v>
      </c>
      <c r="S128" s="10" t="n">
        <v>0</v>
      </c>
      <c r="T128" s="10" t="n">
        <v>5</v>
      </c>
      <c r="U128" s="10" t="n">
        <v>5</v>
      </c>
      <c r="V128" s="10" t="n">
        <v>0</v>
      </c>
      <c r="W128" s="10" t="n">
        <v>0</v>
      </c>
      <c r="X128" s="10" t="n">
        <v>0</v>
      </c>
      <c r="Y128" s="10" t="n">
        <v>0</v>
      </c>
    </row>
    <row r="129" ht="19" customHeight="1">
      <c r="A129" s="7" t="inlineStr">
        <is>
          <t xml:space="preserve">    SALEEM</t>
        </is>
      </c>
      <c r="B129" s="8">
        <f>D129+F129+H129+J129+L129+N129+P129+R129+T129+V129+X129</f>
        <v/>
      </c>
      <c r="C129" s="8">
        <f>E129+G129+I129+K129+M129+O129+Q129+S129+U129+W129+Y129</f>
        <v/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204</v>
      </c>
      <c r="K129" s="8" t="n">
        <v>885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464</v>
      </c>
      <c r="Q129" s="8" t="n">
        <v>918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</row>
    <row r="130" ht="19" customHeight="1">
      <c r="A130" s="9" t="inlineStr">
        <is>
          <t xml:space="preserve">    EXTRA</t>
        </is>
      </c>
      <c r="B130" s="10">
        <f>D130+F130+H130+J130+L130+N130+P130+R130+T130+V130+X130</f>
        <v/>
      </c>
      <c r="C130" s="10">
        <f>E130+G130+I130+K130+M130+O130+Q130+S130+U130+W130+Y130</f>
        <v/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</row>
    <row r="131" ht="19" customHeight="1">
      <c r="A131" s="7" t="inlineStr">
        <is>
          <t xml:space="preserve">    CREDBAE</t>
        </is>
      </c>
      <c r="B131" s="8">
        <f>D131+F131+H131+J131+L131+N131+P131+R131+T131+V131+X131</f>
        <v/>
      </c>
      <c r="C131" s="8">
        <f>E131+G131+I131+K131+M131+O131+Q131+S131+U131+W131+Y131</f>
        <v/>
      </c>
      <c r="D131" s="8" t="n">
        <v>0</v>
      </c>
      <c r="E131" s="8" t="n">
        <v>0</v>
      </c>
      <c r="F131" s="8" t="n">
        <v>1</v>
      </c>
      <c r="G131" s="8" t="n">
        <v>0</v>
      </c>
      <c r="H131" s="8" t="n">
        <v>0</v>
      </c>
      <c r="I131" s="8" t="n">
        <v>0</v>
      </c>
      <c r="J131" s="8" t="n">
        <v>1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1</v>
      </c>
      <c r="V131" s="8" t="n">
        <v>0</v>
      </c>
      <c r="W131" s="8" t="n">
        <v>0</v>
      </c>
      <c r="X131" s="8" t="n">
        <v>0</v>
      </c>
      <c r="Y131" s="8" t="n">
        <v>0</v>
      </c>
    </row>
    <row r="132" ht="19" customHeight="1">
      <c r="A132" s="9" t="inlineStr">
        <is>
          <t xml:space="preserve">    BHUVNESH</t>
        </is>
      </c>
      <c r="B132" s="10">
        <f>D132+F132+H132+J132+L132+N132+P132+R132+T132+V132+X132</f>
        <v/>
      </c>
      <c r="C132" s="10">
        <f>E132+G132+I132+K132+M132+O132+Q132+S132+U132+W132+Y132</f>
        <v/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10</v>
      </c>
      <c r="V132" s="10" t="n">
        <v>0</v>
      </c>
      <c r="W132" s="10" t="n">
        <v>0</v>
      </c>
      <c r="X132" s="10" t="n">
        <v>0</v>
      </c>
      <c r="Y132" s="10" t="n">
        <v>0</v>
      </c>
    </row>
    <row r="133" ht="19" customHeight="1">
      <c r="A133" s="7" t="inlineStr">
        <is>
          <t xml:space="preserve">    SWATI (ZEESHAN)</t>
        </is>
      </c>
      <c r="B133" s="8">
        <f>D133+F133+H133+J133+L133+N133+P133+R133+T133+V133+X133</f>
        <v/>
      </c>
      <c r="C133" s="8">
        <f>E133+G133+I133+K133+M133+O133+Q133+S133+U133+W133+Y133</f>
        <v/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2</v>
      </c>
      <c r="V133" s="8" t="n">
        <v>0</v>
      </c>
      <c r="W133" s="8" t="n">
        <v>0</v>
      </c>
      <c r="X133" s="8" t="n">
        <v>0</v>
      </c>
      <c r="Y133" s="8" t="n">
        <v>0</v>
      </c>
    </row>
    <row r="134" ht="19" customHeight="1">
      <c r="A134" s="9" t="inlineStr">
        <is>
          <t xml:space="preserve">    LAKSHAY RATHORE</t>
        </is>
      </c>
      <c r="B134" s="10">
        <f>D134+F134+H134+J134+L134+N134+P134+R134+T134+V134+X134</f>
        <v/>
      </c>
      <c r="C134" s="10">
        <f>E134+G134+I134+K134+M134+O134+Q134+S134+U134+W134+Y134</f>
        <v/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2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</row>
    <row r="135" ht="19" customHeight="1">
      <c r="A135" s="7" t="inlineStr">
        <is>
          <t xml:space="preserve">    GULREZ</t>
        </is>
      </c>
      <c r="B135" s="8">
        <f>D135+F135+H135+J135+L135+N135+P135+R135+T135+V135+X135</f>
        <v/>
      </c>
      <c r="C135" s="8">
        <f>E135+G135+I135+K135+M135+O135+Q135+S135+U135+W135+Y135</f>
        <v/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5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</row>
    <row r="136" ht="19" customHeight="1">
      <c r="A136" s="9" t="inlineStr">
        <is>
          <t xml:space="preserve">    I DOOR WEALTH MENAGMENT</t>
        </is>
      </c>
      <c r="B136" s="10">
        <f>D136+F136+H136+J136+L136+N136+P136+R136+T136+V136+X136</f>
        <v/>
      </c>
      <c r="C136" s="10">
        <f>E136+G136+I136+K136+M136+O136+Q136+S136+U136+W136+Y136</f>
        <v/>
      </c>
      <c r="D136" s="10" t="n">
        <v>0</v>
      </c>
      <c r="E136" s="10" t="n">
        <v>0</v>
      </c>
      <c r="F136" s="10" t="n">
        <v>4</v>
      </c>
      <c r="G136" s="10" t="n">
        <v>11</v>
      </c>
      <c r="H136" s="10" t="n">
        <v>0</v>
      </c>
      <c r="I136" s="10" t="n">
        <v>0</v>
      </c>
      <c r="J136" s="10" t="n">
        <v>0</v>
      </c>
      <c r="K136" s="10" t="n">
        <v>2</v>
      </c>
      <c r="L136" s="10" t="n">
        <v>0</v>
      </c>
      <c r="M136" s="10" t="n">
        <v>0</v>
      </c>
      <c r="N136" s="10" t="n">
        <v>0</v>
      </c>
      <c r="O136" s="10" t="n">
        <v>3</v>
      </c>
      <c r="P136" s="10" t="n">
        <v>2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</row>
    <row r="137" ht="19" customHeight="1">
      <c r="A137" s="7" t="inlineStr">
        <is>
          <t xml:space="preserve">    GB ENTERPRISE</t>
        </is>
      </c>
      <c r="B137" s="8">
        <f>D137+F137+H137+J137+L137+N137+P137+R137+T137+V137+X137</f>
        <v/>
      </c>
      <c r="C137" s="8">
        <f>E137+G137+I137+K137+M137+O137+Q137+S137+U137+W137+Y137</f>
        <v/>
      </c>
      <c r="D137" s="8" t="n">
        <v>0</v>
      </c>
      <c r="E137" s="8" t="n">
        <v>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2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</row>
    <row r="138" ht="19" customHeight="1">
      <c r="A138" s="9" t="inlineStr">
        <is>
          <t xml:space="preserve">    FARHAD</t>
        </is>
      </c>
      <c r="B138" s="10">
        <f>D138+F138+H138+J138+L138+N138+P138+R138+T138+V138+X138</f>
        <v/>
      </c>
      <c r="C138" s="10">
        <f>E138+G138+I138+K138+M138+O138+Q138+S138+U138+W138+Y138</f>
        <v/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</row>
    <row r="139" ht="19" customHeight="1">
      <c r="A139" s="7" t="inlineStr">
        <is>
          <t xml:space="preserve">    TELERING PROCESS PVT LTD</t>
        </is>
      </c>
      <c r="B139" s="8">
        <f>D139+F139+H139+J139+L139+N139+P139+R139+T139+V139+X139</f>
        <v/>
      </c>
      <c r="C139" s="8">
        <f>E139+G139+I139+K139+M139+O139+Q139+S139+U139+W139+Y139</f>
        <v/>
      </c>
      <c r="D139" s="8" t="n">
        <v>0</v>
      </c>
      <c r="E139" s="8" t="n">
        <v>0</v>
      </c>
      <c r="F139" s="8" t="n">
        <v>10</v>
      </c>
      <c r="G139" s="8" t="n">
        <v>15</v>
      </c>
      <c r="H139" s="8" t="n">
        <v>3</v>
      </c>
      <c r="I139" s="8" t="n">
        <v>2</v>
      </c>
      <c r="J139" s="8" t="n">
        <v>8</v>
      </c>
      <c r="K139" s="8" t="n">
        <v>26</v>
      </c>
      <c r="L139" s="8" t="n">
        <v>10</v>
      </c>
      <c r="M139" s="8" t="n">
        <v>4</v>
      </c>
      <c r="N139" s="8" t="n">
        <v>3</v>
      </c>
      <c r="O139" s="8" t="n">
        <v>6</v>
      </c>
      <c r="P139" s="8" t="n">
        <v>594</v>
      </c>
      <c r="Q139" s="8" t="n">
        <v>188</v>
      </c>
      <c r="R139" s="8" t="n">
        <v>0</v>
      </c>
      <c r="S139" s="8" t="n">
        <v>0</v>
      </c>
      <c r="T139" s="8" t="n">
        <v>7</v>
      </c>
      <c r="U139" s="8" t="n">
        <v>276</v>
      </c>
      <c r="V139" s="8" t="n">
        <v>5</v>
      </c>
      <c r="W139" s="8" t="n">
        <v>11</v>
      </c>
      <c r="X139" s="8" t="n">
        <v>0</v>
      </c>
      <c r="Y139" s="8" t="n">
        <v>26</v>
      </c>
    </row>
    <row r="140" ht="24" customHeight="1">
      <c r="A140" s="11" t="inlineStr">
        <is>
          <t>GRAND TOTAL</t>
        </is>
      </c>
      <c r="B140" s="12">
        <f>B4+B5+B11+B16+B43+B57+B73+B116+B124</f>
        <v/>
      </c>
      <c r="C140" s="12">
        <f>C4+C5+C11+C16+C43+C57+C73+C116+C124</f>
        <v/>
      </c>
      <c r="D140" s="12">
        <f>D4+D5+D11+D16+D43+D57+D73+D116+D124</f>
        <v/>
      </c>
      <c r="E140" s="12">
        <f>E4+E5+E11+E16+E43+E57+E73+E116+E124</f>
        <v/>
      </c>
      <c r="F140" s="12">
        <f>F4+F5+F11+F16+F43+F57+F73+F116+F124</f>
        <v/>
      </c>
      <c r="G140" s="12">
        <f>G4+G5+G11+G16+G43+G57+G73+G116+G124</f>
        <v/>
      </c>
      <c r="H140" s="12">
        <f>H4+H5+H11+H16+H43+H57+H73+H116+H124</f>
        <v/>
      </c>
      <c r="I140" s="12">
        <f>I4+I5+I11+I16+I43+I57+I73+I116+I124</f>
        <v/>
      </c>
      <c r="J140" s="12">
        <f>J4+J5+J11+J16+J43+J57+J73+J116+J124</f>
        <v/>
      </c>
      <c r="K140" s="12">
        <f>K4+K5+K11+K16+K43+K57+K73+K116+K124</f>
        <v/>
      </c>
      <c r="L140" s="12">
        <f>L4+L5+L11+L16+L43+L57+L73+L116+L124</f>
        <v/>
      </c>
      <c r="M140" s="12">
        <f>M4+M5+M11+M16+M43+M57+M73+M116+M124</f>
        <v/>
      </c>
      <c r="N140" s="12">
        <f>N4+N5+N11+N16+N43+N57+N73+N116+N124</f>
        <v/>
      </c>
      <c r="O140" s="12">
        <f>O4+O5+O11+O16+O43+O57+O73+O116+O124</f>
        <v/>
      </c>
      <c r="P140" s="12">
        <f>P4+P5+P11+P16+P43+P57+P73+P116+P124</f>
        <v/>
      </c>
      <c r="Q140" s="12">
        <f>Q4+Q5+Q11+Q16+Q43+Q57+Q73+Q116+Q124</f>
        <v/>
      </c>
      <c r="R140" s="12">
        <f>R4+R5+R11+R16+R43+R57+R73+R116+R124</f>
        <v/>
      </c>
      <c r="S140" s="12">
        <f>S4+S5+S11+S16+S43+S57+S73+S116+S124</f>
        <v/>
      </c>
      <c r="T140" s="12">
        <f>T4+T5+T11+T16+T43+T57+T73+T116+T124</f>
        <v/>
      </c>
      <c r="U140" s="12">
        <f>U4+U5+U11+U16+U43+U57+U73+U116+U124</f>
        <v/>
      </c>
      <c r="V140" s="12">
        <f>V4+V5+V11+V16+V43+V57+V73+V116+V124</f>
        <v/>
      </c>
      <c r="W140" s="12">
        <f>W4+W5+W11+W16+W43+W57+W73+W116+W124</f>
        <v/>
      </c>
      <c r="X140" s="12">
        <f>X4+X5+X11+X16+X43+X57+X73+X116+X124</f>
        <v/>
      </c>
      <c r="Y140" s="12">
        <f>Y4+Y5+Y11+Y16+Y43+Y57+Y73+Y116+Y124</f>
        <v/>
      </c>
    </row>
  </sheetData>
  <mergeCells count="14">
    <mergeCell ref="L2:M2"/>
    <mergeCell ref="F2:G2"/>
    <mergeCell ref="B2:C2"/>
    <mergeCell ref="H2:I2"/>
    <mergeCell ref="V2:W2"/>
    <mergeCell ref="D2:E2"/>
    <mergeCell ref="A1:Z1"/>
    <mergeCell ref="T2:U2"/>
    <mergeCell ref="X2:Y2"/>
    <mergeCell ref="J2:K2"/>
    <mergeCell ref="N2:O2"/>
    <mergeCell ref="R2:S2"/>
    <mergeCell ref="P2:Q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8" customWidth="1" min="4" max="4"/>
    <col width="10" customWidth="1" min="6" max="6"/>
    <col width="20" customWidth="1" min="7" max="7"/>
    <col width="20" customWidth="1" min="8" max="8"/>
  </cols>
  <sheetData>
    <row r="1" ht="26" customHeight="1">
      <c r="A1" s="13" t="inlineStr">
        <is>
          <t>Channel Partner Working Capital Allocation</t>
        </is>
      </c>
      <c r="F1" s="13" t="inlineStr">
        <is>
          <t>Bank Settlement Status</t>
        </is>
      </c>
    </row>
    <row r="2">
      <c r="A2" s="2" t="inlineStr">
        <is>
          <t>SR NO</t>
        </is>
      </c>
      <c r="B2" s="2" t="inlineStr">
        <is>
          <t>CHANNEL PARTNER</t>
        </is>
      </c>
      <c r="C2" s="2" t="inlineStr">
        <is>
          <t>WORKING CAPITAL (₹)</t>
        </is>
      </c>
      <c r="D2" s="2" t="inlineStr">
        <is>
          <t>TOTAL CARDS (CM)</t>
        </is>
      </c>
      <c r="F2" s="2" t="inlineStr">
        <is>
          <t>SR NO</t>
        </is>
      </c>
      <c r="G2" s="2" t="inlineStr">
        <is>
          <t>BANK NAME</t>
        </is>
      </c>
      <c r="H2" s="2" t="inlineStr">
        <is>
          <t>SETTLEMENT STATUS</t>
        </is>
      </c>
    </row>
    <row r="3">
      <c r="A3" s="14" t="n">
        <v>1</v>
      </c>
      <c r="B3" s="7" t="inlineStr">
        <is>
          <t>CAPITAL CALL SERVICES</t>
        </is>
      </c>
      <c r="C3" s="15" t="n">
        <v>904650</v>
      </c>
      <c r="D3" s="16" t="n">
        <v>0</v>
      </c>
      <c r="F3" s="14" t="n">
        <v>1</v>
      </c>
      <c r="G3" s="7" t="inlineStr">
        <is>
          <t>HDFC</t>
        </is>
      </c>
      <c r="H3" s="14" t="inlineStr">
        <is>
          <t>FINAL</t>
        </is>
      </c>
    </row>
    <row r="4">
      <c r="A4" s="14" t="n">
        <v>2</v>
      </c>
      <c r="B4" s="7" t="inlineStr">
        <is>
          <t>BALAJI ENTERPRISES</t>
        </is>
      </c>
      <c r="C4" s="15" t="n">
        <v>131448</v>
      </c>
      <c r="D4" s="16" t="n">
        <v>1</v>
      </c>
      <c r="F4" s="14" t="n">
        <v>2</v>
      </c>
      <c r="G4" s="7" t="inlineStr">
        <is>
          <t>TATA NEU</t>
        </is>
      </c>
      <c r="H4" s="14" t="inlineStr">
        <is>
          <t>FINAL</t>
        </is>
      </c>
    </row>
    <row r="5">
      <c r="A5" s="14" t="n">
        <v>3</v>
      </c>
      <c r="B5" s="7" t="inlineStr">
        <is>
          <t>MONEY MART</t>
        </is>
      </c>
      <c r="C5" s="15" t="n">
        <v>67566</v>
      </c>
      <c r="D5" s="16" t="n">
        <v>12</v>
      </c>
      <c r="F5" s="14" t="n">
        <v>3</v>
      </c>
      <c r="G5" s="7" t="inlineStr">
        <is>
          <t>SBI</t>
        </is>
      </c>
      <c r="H5" s="14" t="inlineStr">
        <is>
          <t>FINAL</t>
        </is>
      </c>
    </row>
    <row r="6">
      <c r="A6" s="14" t="n">
        <v>4</v>
      </c>
      <c r="B6" s="7" t="inlineStr">
        <is>
          <t>SHRESHREY CARD SERVICES PVT LTD</t>
        </is>
      </c>
      <c r="C6" s="15" t="n">
        <v>618200</v>
      </c>
      <c r="D6" s="16" t="n">
        <v>0</v>
      </c>
      <c r="F6" s="14" t="n">
        <v>4</v>
      </c>
      <c r="G6" s="7" t="inlineStr">
        <is>
          <t>AXIS LIC</t>
        </is>
      </c>
      <c r="H6" s="14" t="inlineStr">
        <is>
          <t>21-SEP</t>
        </is>
      </c>
    </row>
    <row r="7">
      <c r="A7" s="14" t="n">
        <v>5</v>
      </c>
      <c r="B7" s="7" t="inlineStr">
        <is>
          <t>ANSH MANAGEMENT</t>
        </is>
      </c>
      <c r="C7" s="15" t="n">
        <v>82919</v>
      </c>
      <c r="D7" s="16" t="n">
        <v>0</v>
      </c>
      <c r="F7" s="14" t="n">
        <v>5</v>
      </c>
      <c r="G7" s="7" t="inlineStr">
        <is>
          <t>AXIS</t>
        </is>
      </c>
      <c r="H7" s="14" t="inlineStr">
        <is>
          <t>FINAL</t>
        </is>
      </c>
    </row>
    <row r="8">
      <c r="A8" s="14" t="n">
        <v>6</v>
      </c>
      <c r="B8" s="7" t="inlineStr">
        <is>
          <t>Q GET FINANCIAL TECHNOLOGIES INDIA PVT LTD</t>
        </is>
      </c>
      <c r="C8" s="15" t="n">
        <v>2876727</v>
      </c>
      <c r="D8" s="16" t="n">
        <v>1947</v>
      </c>
      <c r="F8" s="14" t="n">
        <v>6</v>
      </c>
      <c r="G8" s="7" t="inlineStr">
        <is>
          <t>AU</t>
        </is>
      </c>
      <c r="H8" s="14" t="inlineStr">
        <is>
          <t>FINAL</t>
        </is>
      </c>
    </row>
    <row r="9">
      <c r="A9" s="14" t="n">
        <v>7</v>
      </c>
      <c r="B9" s="7" t="inlineStr">
        <is>
          <t>UPENDRA KUMAR SINGH</t>
        </is>
      </c>
      <c r="C9" s="15" t="n">
        <v>86576</v>
      </c>
      <c r="D9" s="16" t="n">
        <v>1</v>
      </c>
      <c r="F9" s="14" t="n">
        <v>7</v>
      </c>
      <c r="G9" s="7" t="inlineStr">
        <is>
          <t>BOB</t>
        </is>
      </c>
      <c r="H9" s="14" t="inlineStr">
        <is>
          <t>FINAL</t>
        </is>
      </c>
    </row>
    <row r="10">
      <c r="A10" s="14" t="n">
        <v>8</v>
      </c>
      <c r="B10" s="7" t="inlineStr">
        <is>
          <t>SANJAY PATEL</t>
        </is>
      </c>
      <c r="C10" s="15" t="n">
        <v>0</v>
      </c>
      <c r="D10" s="16" t="n">
        <v>35</v>
      </c>
      <c r="F10" s="14" t="n">
        <v>8</v>
      </c>
      <c r="G10" s="7" t="inlineStr">
        <is>
          <t>INDUS</t>
        </is>
      </c>
      <c r="H10" s="14" t="inlineStr">
        <is>
          <t>FINAL</t>
        </is>
      </c>
    </row>
    <row r="11">
      <c r="A11" s="14" t="n">
        <v>9</v>
      </c>
      <c r="B11" s="7" t="inlineStr">
        <is>
          <t>TYAGI INFOSIS</t>
        </is>
      </c>
      <c r="C11" s="15" t="n">
        <v>133773</v>
      </c>
      <c r="D11" s="16" t="n">
        <v>11</v>
      </c>
      <c r="F11" s="14" t="n">
        <v>9</v>
      </c>
      <c r="G11" s="7" t="inlineStr">
        <is>
          <t>YES ZAGGLE</t>
        </is>
      </c>
      <c r="H11" s="14" t="inlineStr">
        <is>
          <t>FINAL</t>
        </is>
      </c>
    </row>
    <row r="12">
      <c r="A12" s="14" t="n">
        <v>10</v>
      </c>
      <c r="B12" s="7" t="inlineStr">
        <is>
          <t>AED19 CARD SERVICES PVT LTD</t>
        </is>
      </c>
      <c r="C12" s="15" t="n">
        <v>650391</v>
      </c>
      <c r="D12" s="16" t="n">
        <v>1</v>
      </c>
      <c r="F12" s="14" t="n">
        <v>10</v>
      </c>
      <c r="G12" s="7" t="inlineStr">
        <is>
          <t>RBL</t>
        </is>
      </c>
      <c r="H12" s="14" t="inlineStr">
        <is>
          <t>FINAL</t>
        </is>
      </c>
    </row>
  </sheetData>
  <mergeCells count="2">
    <mergeCell ref="A1:D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2026-10-06T10:56:32Z</dcterms:created>
  <dcterms:modified xsi:type="dcterms:W3CDTF">2026-10-06T10:56:32Z</dcterms:modified>
</cp:coreProperties>
</file>